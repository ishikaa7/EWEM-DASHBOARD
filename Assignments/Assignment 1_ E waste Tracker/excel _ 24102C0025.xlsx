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6043C3E2-169B-4A14-ACAC-EDCFAC92B34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C30" i="8"/>
  <c r="C29" i="8"/>
  <c r="C28" i="8"/>
  <c r="F15" i="1" s="1"/>
  <c r="G15" i="1" s="1"/>
  <c r="H15" i="1" s="1"/>
  <c r="C31" i="7"/>
  <c r="C30" i="7"/>
  <c r="C29" i="7"/>
  <c r="F14" i="1" s="1"/>
  <c r="G14" i="1" s="1"/>
  <c r="H14" i="1" s="1"/>
  <c r="C28" i="7"/>
  <c r="C33" i="6"/>
  <c r="C32" i="6"/>
  <c r="C31" i="6"/>
  <c r="C30" i="6"/>
  <c r="C29" i="6"/>
  <c r="C28" i="6"/>
  <c r="F13" i="1" s="1"/>
  <c r="G13" i="1" s="1"/>
  <c r="H13" i="1" s="1"/>
  <c r="F28" i="5"/>
  <c r="E28" i="5"/>
  <c r="F12" i="1" s="1"/>
  <c r="G12" i="1" s="1"/>
  <c r="H12" i="1" s="1"/>
  <c r="D28" i="5"/>
  <c r="G27" i="4"/>
  <c r="F27" i="4"/>
  <c r="E27" i="4"/>
  <c r="D27" i="4"/>
  <c r="C25" i="4"/>
  <c r="C24" i="4"/>
  <c r="C23" i="4"/>
  <c r="C22" i="4"/>
  <c r="C21" i="4"/>
  <c r="C20" i="4"/>
  <c r="C19" i="4"/>
  <c r="C27" i="4" s="1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J27" i="3"/>
  <c r="I27" i="3"/>
  <c r="H27" i="3"/>
  <c r="G27" i="3"/>
  <c r="F27" i="3"/>
  <c r="E27" i="3"/>
  <c r="D27" i="3"/>
  <c r="C27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D17" i="1"/>
  <c r="F16" i="1"/>
  <c r="G16" i="1" s="1"/>
  <c r="H16" i="1" s="1"/>
  <c r="F10" i="1"/>
  <c r="G10" i="1" s="1"/>
  <c r="H10" i="1" s="1"/>
  <c r="F11" i="1" l="1"/>
  <c r="G11" i="1" s="1"/>
  <c r="H11" i="1" s="1"/>
  <c r="H17" i="1" s="1"/>
  <c r="F5" i="1" l="1"/>
  <c r="D5" i="1"/>
</calcChain>
</file>

<file path=xl/sharedStrings.xml><?xml version="1.0" encoding="utf-8"?>
<sst xmlns="http://schemas.openxmlformats.org/spreadsheetml/2006/main" count="280" uniqueCount="189">
  <si>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</si>
  <si>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</si>
  <si>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</si>
  <si>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</si>
  <si>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</si>
  <si>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</si>
  <si>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</si>
  <si>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</si>
  <si>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</si>
  <si>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</si>
  <si>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</si>
  <si>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</si>
  <si>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</si>
  <si>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</si>
  <si>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</si>
  <si>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</si>
  <si>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</si>
  <si>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</si>
  <si>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</si>
  <si>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</si>
  <si>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</si>
  <si>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</si>
  <si>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</si>
  <si>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</si>
  <si>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</si>
  <si>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</si>
  <si>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</si>
  <si>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</si>
  <si>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</si>
  <si>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</si>
  <si>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</si>
  <si>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</si>
  <si>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</si>
  <si>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</si>
  <si>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</si>
  <si>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</si>
  <si>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</si>
  <si>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</si>
  <si>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</si>
  <si>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</si>
  <si>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</si>
  <si>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</si>
  <si>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</si>
  <si>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</si>
  <si>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</si>
  <si>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</si>
  <si>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</si>
  <si>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</si>
  <si>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</si>
  <si>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</si>
  <si>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</si>
  <si>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</si>
  <si>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</si>
  <si>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</si>
  <si>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</si>
  <si>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</si>
  <si>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Kangra</t>
  </si>
  <si>
    <t>30-06-2026</t>
  </si>
  <si>
    <t>Mandi</t>
  </si>
  <si>
    <t>Shimla</t>
  </si>
  <si>
    <t>Solan</t>
  </si>
  <si>
    <t>Sirmaur</t>
  </si>
  <si>
    <t>Una</t>
  </si>
  <si>
    <t>Chamba</t>
  </si>
  <si>
    <t>Hamirpur</t>
  </si>
  <si>
    <t>Kullu</t>
  </si>
  <si>
    <t>Bilaspur</t>
  </si>
  <si>
    <t>Kinnaur</t>
  </si>
  <si>
    <t>Lahaul &amp; Spiti</t>
  </si>
  <si>
    <t>STATE TOTAL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</si>
  <si>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</si>
  <si>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</si>
  <si>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</si>
  <si>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</si>
  <si>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</si>
  <si>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</si>
  <si>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</si>
  <si>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</si>
  <si>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Regular tracking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</si>
  <si>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</si>
  <si>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</si>
  <si>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</si>
  <si>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</si>
  <si>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</si>
  <si>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</si>
  <si>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</si>
  <si>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</si>
  <si>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Shivalik Solid Waste Management</t>
  </si>
  <si>
    <t>HP/EWM/2021/01</t>
  </si>
  <si>
    <t>31-12-2027</t>
  </si>
  <si>
    <t>Eco Works Management Pvt</t>
  </si>
  <si>
    <t>HP/EWM/2022/02</t>
  </si>
  <si>
    <t>15-08-2028</t>
  </si>
  <si>
    <t>Sahni Enterprise</t>
  </si>
  <si>
    <t>HP/EWM/2020/03</t>
  </si>
  <si>
    <t>Kangra E-Waste Processors</t>
  </si>
  <si>
    <t>HP/EWM/2023/04</t>
  </si>
  <si>
    <t>01-01-2029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</si>
  <si>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</si>
  <si>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</si>
  <si>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</si>
  <si>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</si>
  <si>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</si>
  <si>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</si>
  <si>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</si>
  <si>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</si>
  <si>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</si>
  <si>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M/s Baddi Electronics</t>
  </si>
  <si>
    <t>EPR/HP/2023/001</t>
  </si>
  <si>
    <t>Compliant</t>
  </si>
  <si>
    <t>Yes</t>
  </si>
  <si>
    <t>No</t>
  </si>
  <si>
    <t>N/A</t>
  </si>
  <si>
    <t>Target met</t>
  </si>
  <si>
    <t>Himachal Tech Devices</t>
  </si>
  <si>
    <t>EPR/HP/2022/014</t>
  </si>
  <si>
    <t>Non-Compliant</t>
  </si>
  <si>
    <t>Target missed by 30%</t>
  </si>
  <si>
    <t>Solan Consumer Goods</t>
  </si>
  <si>
    <t>EPR/HP/2024/023</t>
  </si>
  <si>
    <t>Pending inspection</t>
  </si>
  <si>
    <t>Sirmaur Lightings</t>
  </si>
  <si>
    <t>EPR/HP/2021/008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</si>
  <si>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</si>
  <si>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</si>
  <si>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</si>
  <si>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</si>
  <si>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</si>
  <si>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</si>
  <si>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</si>
  <si>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</si>
  <si>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</si>
  <si>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</si>
  <si>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</si>
  <si>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</si>
  <si>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Baddi Scrap Hub</t>
  </si>
  <si>
    <t>Partially Formalized</t>
  </si>
  <si>
    <t>Linked with Eco Works</t>
  </si>
  <si>
    <t>Ongoing</t>
  </si>
  <si>
    <t>Shimla Lower Bazar Yard</t>
  </si>
  <si>
    <t>Unformalized</t>
  </si>
  <si>
    <t>Awareness drive done</t>
  </si>
  <si>
    <t>Pending registration</t>
  </si>
  <si>
    <t>Kala Amb Cluster</t>
  </si>
  <si>
    <t>Linked with Sahni Ent.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</si>
  <si>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</si>
  <si>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</si>
  <si>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</si>
  <si>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</si>
  <si>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</si>
  <si>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</si>
  <si>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</si>
  <si>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</si>
  <si>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</si>
  <si>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</si>
  <si>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</si>
  <si>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</si>
  <si>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Air</t>
  </si>
  <si>
    <t>15-05-2026</t>
  </si>
  <si>
    <t>Within limits</t>
  </si>
  <si>
    <t>Camp by local NGO</t>
  </si>
  <si>
    <t>Air</t>
  </si>
  <si>
    <t>20-04-2026</t>
  </si>
  <si>
    <t>PM10 high</t>
  </si>
  <si>
    <t>Planned for next quarter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</si>
  <si>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</si>
  <si>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</si>
  <si>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</si>
  <si>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</si>
  <si>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</si>
  <si>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</si>
  <si>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</si>
  <si>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</si>
  <si>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</si>
  <si>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Clean HP E-Waste Drive</t>
  </si>
  <si>
    <t>05-06-2026</t>
  </si>
  <si>
    <t>Public Camp</t>
  </si>
  <si>
    <t>General Public</t>
  </si>
  <si>
    <t>School E-Waste Awareness</t>
  </si>
  <si>
    <t>12-07-2026</t>
  </si>
  <si>
    <t>Workshop</t>
  </si>
  <si>
    <t>Students</t>
  </si>
  <si>
    <t>Industrial Compliance Meet</t>
  </si>
  <si>
    <t>18-06-2026</t>
  </si>
  <si>
    <t>Seminar</t>
  </si>
  <si>
    <t>Bulk Consumers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</si>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</sst>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0" fillId="3" borderId="1" xfId="0" applyFill="1" applyBorder="1"/>
    <xf numFmtId="0" fontId="9" fillId="0" borderId="0" xfId="0" applyFont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5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9" fillId="5" borderId="1" xfId="0" applyFont="1" applyFill="1" applyBorder="1" applyAlignment="1">
      <alignment horizontal="right" vertical="center" wrapText="1"/>
    </xf>
    <xf numFmtId="165" fontId="10" fillId="6" borderId="1" xfId="0" applyNumberFormat="1" applyFont="1" applyFill="1" applyBorder="1" applyAlignment="1">
      <alignment horizontal="right" vertical="center" wrapText="1"/>
    </xf>
    <xf numFmtId="165" fontId="9" fillId="5" borderId="1" xfId="0" applyNumberFormat="1" applyFont="1" applyFill="1" applyBorder="1" applyAlignment="1">
      <alignment horizontal="right" vertical="center" wrapText="1"/>
    </xf>
    <xf numFmtId="165" fontId="7" fillId="3" borderId="1" xfId="0" applyNumberFormat="1" applyFont="1" applyFill="1" applyBorder="1" applyAlignment="1">
      <alignment vertical="center" wrapText="1"/>
    </xf>
    <xf numFmtId="164" fontId="4" fillId="3" borderId="0" xfId="0" applyNumberFormat="1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topLeftCell="C12" zoomScale="102" zoomScaleNormal="100" workbookViewId="0"/>
  </sheetViews>
  <sheetFormatPr defaultColWidth="8.6640625" defaultRowHeight="14.4" x14ac:dyDescent="0.3"/>
  <cols>
    <col min="1" max="1" width="36" customWidth="1"/>
    <col min="2" max="2" width="40" customWidth="1"/>
    <col min="3" max="3" width="35" customWidth="1"/>
    <col min="4" max="4" width="15" customWidth="1"/>
    <col min="5" max="5" width="20" customWidth="1"/>
    <col min="6" max="6" width="40" customWidth="1"/>
    <col min="7" max="7" width="28" customWidth="1"/>
    <col min="8" max="8" width="19" customWidth="1"/>
    <col min="9" max="9" width="10" customWidth="1"/>
  </cols>
  <sheetData>
    <row r="2" spans="1:9" ht="25.5" customHeight="1" x14ac:dyDescent="0.3">
      <c r="A2" s="25" t="s">
        <v>0</v>
      </c>
      <c r="B2" s="24"/>
      <c r="C2" s="24"/>
      <c r="D2" s="24"/>
      <c r="E2" s="24"/>
      <c r="F2" s="24"/>
      <c r="G2" s="24"/>
      <c r="H2" s="24"/>
    </row>
    <row r="3" spans="1:9" ht="15" customHeight="1" x14ac:dyDescent="0.3">
      <c r="B3" s="27" t="s">
        <v>1</v>
      </c>
      <c r="C3" s="24"/>
      <c r="D3" s="24"/>
      <c r="E3" s="24"/>
      <c r="F3" s="24"/>
      <c r="G3" s="24"/>
      <c r="H3" s="24"/>
      <c r="I3" s="24"/>
    </row>
    <row r="5" spans="1:9" ht="15" customHeight="1" x14ac:dyDescent="0.3">
      <c r="B5" s="26" t="s">
        <v>2</v>
      </c>
      <c r="C5" s="24"/>
      <c r="D5" s="23">
        <f>ROUND(H17,1)</f>
        <v>54.2</v>
      </c>
      <c r="E5" s="24"/>
      <c r="F5" s="28" t="str">
        <f>_xlfn.IFS(H17&gt;=85,"EXCELLENT",H17&gt;=65,"GOOD",H17&gt;=45,"NEEDS IMPROVEMENT",TRUE(),"CRITICAL")</f>
        <v>NEEDS IMPROVEMENT</v>
      </c>
      <c r="G5" s="24"/>
      <c r="H5" s="24"/>
      <c r="I5" s="24"/>
    </row>
    <row r="6" spans="1:9" ht="15" customHeight="1" x14ac:dyDescent="0.3">
      <c r="B6" s="24"/>
      <c r="C6" s="24"/>
      <c r="D6" s="24"/>
      <c r="E6" s="24"/>
      <c r="F6" s="24"/>
      <c r="G6" s="24"/>
      <c r="H6" s="24"/>
      <c r="I6" s="24"/>
    </row>
    <row r="7" spans="1:9" ht="15" customHeight="1" x14ac:dyDescent="0.3">
      <c r="B7" s="24"/>
      <c r="C7" s="24"/>
      <c r="D7" s="24"/>
      <c r="E7" s="24"/>
      <c r="F7" s="24"/>
      <c r="G7" s="24"/>
      <c r="H7" s="24"/>
      <c r="I7" s="24"/>
    </row>
    <row r="9" spans="1:9" ht="30" customHeight="1" x14ac:dyDescent="0.3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9" ht="30" customHeight="1" x14ac:dyDescent="0.3">
      <c r="B10" s="9">
        <v>1</v>
      </c>
      <c r="C10" s="2" t="s">
        <v>10</v>
      </c>
      <c r="D10" s="9">
        <v>15</v>
      </c>
      <c r="E10" s="10">
        <v>12</v>
      </c>
      <c r="F10" s="11">
        <f>COUNTIF('1_Generation_Inventory'!C6:C25,"?*")</f>
        <v>0</v>
      </c>
      <c r="G10" s="12">
        <f t="shared" ref="G10:G16" si="0">IFERROR(MIN(F10/E10,1),0)</f>
        <v>0</v>
      </c>
      <c r="H10" s="13">
        <f t="shared" ref="H10:H16" si="1">ROUND(G10*D10,1)</f>
        <v>0</v>
      </c>
    </row>
    <row r="11" spans="1:9" ht="30" customHeight="1" x14ac:dyDescent="0.3">
      <c r="B11" s="9">
        <v>2</v>
      </c>
      <c r="C11" s="2" t="s">
        <v>11</v>
      </c>
      <c r="D11" s="9">
        <v>20</v>
      </c>
      <c r="E11" s="14">
        <v>0.6</v>
      </c>
      <c r="F11" s="12">
        <f>IFERROR('2_Collection_Log'!F27/'2_Collection_Log'!C27,0)</f>
        <v>8.6708507294428333E-2</v>
      </c>
      <c r="G11" s="12">
        <f t="shared" si="0"/>
        <v>0.14451417882404724</v>
      </c>
      <c r="H11" s="13">
        <f t="shared" si="1"/>
        <v>2.9</v>
      </c>
    </row>
    <row r="12" spans="1:9" ht="30" customHeight="1" x14ac:dyDescent="0.3">
      <c r="B12" s="9">
        <v>3</v>
      </c>
      <c r="C12" s="2" t="s">
        <v>12</v>
      </c>
      <c r="D12" s="9">
        <v>20</v>
      </c>
      <c r="E12" s="14">
        <v>0.8</v>
      </c>
      <c r="F12" s="12">
        <f>IFERROR(('3_Recycling_Infrastructure'!E28*1000)/'2_Collection_Log'!C27,0)</f>
        <v>3.1141717652578844</v>
      </c>
      <c r="G12" s="12">
        <f t="shared" si="0"/>
        <v>1</v>
      </c>
      <c r="H12" s="13">
        <f t="shared" si="1"/>
        <v>20</v>
      </c>
    </row>
    <row r="13" spans="1:9" ht="30" customHeight="1" x14ac:dyDescent="0.3">
      <c r="B13" s="9">
        <v>4</v>
      </c>
      <c r="C13" s="2" t="s">
        <v>13</v>
      </c>
      <c r="D13" s="9">
        <v>15</v>
      </c>
      <c r="E13" s="14">
        <v>1</v>
      </c>
      <c r="F13" s="12">
        <f>IFERROR('4_Compliance_Tracker'!C28/'4_Compliance_Tracker'!C29,0)</f>
        <v>0.75</v>
      </c>
      <c r="G13" s="12">
        <f t="shared" si="0"/>
        <v>0.75</v>
      </c>
      <c r="H13" s="13">
        <f t="shared" si="1"/>
        <v>11.3</v>
      </c>
    </row>
    <row r="14" spans="1:9" ht="30" customHeight="1" x14ac:dyDescent="0.3">
      <c r="B14" s="9">
        <v>5</v>
      </c>
      <c r="C14" s="2" t="s">
        <v>14</v>
      </c>
      <c r="D14" s="9">
        <v>10</v>
      </c>
      <c r="E14" s="14">
        <v>0.5</v>
      </c>
      <c r="F14" s="12">
        <f>IFERROR('5_Informal_Sector_Hotspots'!C29/'5_Informal_Sector_Hotspots'!C28,0)</f>
        <v>0</v>
      </c>
      <c r="G14" s="12">
        <f t="shared" si="0"/>
        <v>0</v>
      </c>
      <c r="H14" s="13">
        <f t="shared" si="1"/>
        <v>0</v>
      </c>
    </row>
    <row r="15" spans="1:9" ht="30" customHeight="1" x14ac:dyDescent="0.3">
      <c r="B15" s="9">
        <v>6</v>
      </c>
      <c r="C15" s="2" t="s">
        <v>15</v>
      </c>
      <c r="D15" s="9">
        <v>10</v>
      </c>
      <c r="E15" s="14">
        <v>0.5</v>
      </c>
      <c r="F15" s="12">
        <f>IFERROR('6_Env_Health_Monitoring'!C28/'5_Informal_Sector_Hotspots'!C28,0)</f>
        <v>0.66666666666666663</v>
      </c>
      <c r="G15" s="12">
        <f t="shared" si="0"/>
        <v>1</v>
      </c>
      <c r="H15" s="13">
        <f t="shared" si="1"/>
        <v>10</v>
      </c>
    </row>
    <row r="16" spans="1:9" ht="30" customHeight="1" x14ac:dyDescent="0.3">
      <c r="B16" s="9">
        <v>7</v>
      </c>
      <c r="C16" s="2" t="s">
        <v>16</v>
      </c>
      <c r="D16" s="9">
        <v>10</v>
      </c>
      <c r="E16" s="10">
        <v>3</v>
      </c>
      <c r="F16" s="11">
        <f>'7_Awareness_Programs'!C28</f>
        <v>3</v>
      </c>
      <c r="G16" s="12">
        <f t="shared" si="0"/>
        <v>1</v>
      </c>
      <c r="H16" s="13">
        <f t="shared" si="1"/>
        <v>10</v>
      </c>
    </row>
    <row r="17" spans="2:8" ht="15" customHeight="1" x14ac:dyDescent="0.3">
      <c r="B17" s="3"/>
      <c r="C17" s="15" t="s">
        <v>17</v>
      </c>
      <c r="D17" s="15">
        <f>SUM(D10:D16)</f>
        <v>100</v>
      </c>
      <c r="E17" s="3"/>
      <c r="F17" s="3"/>
      <c r="G17" s="3"/>
      <c r="H17" s="15">
        <f>SUM(H10:H16)</f>
        <v>54.2</v>
      </c>
    </row>
    <row r="19" spans="2:8" ht="15" customHeight="1" x14ac:dyDescent="0.3">
      <c r="B19" s="16" t="s">
        <v>18</v>
      </c>
    </row>
    <row r="20" spans="2:8" ht="15" customHeight="1" x14ac:dyDescent="0.3">
      <c r="B20" s="4" t="s">
        <v>19</v>
      </c>
      <c r="C20" s="4" t="s">
        <v>20</v>
      </c>
    </row>
    <row r="21" spans="2:8" ht="15" customHeight="1" x14ac:dyDescent="0.3">
      <c r="B21" s="4" t="s">
        <v>21</v>
      </c>
      <c r="C21" s="4" t="s">
        <v>22</v>
      </c>
    </row>
    <row r="22" spans="2:8" ht="15" customHeight="1" x14ac:dyDescent="0.3">
      <c r="B22" s="4" t="s">
        <v>23</v>
      </c>
      <c r="C22" s="4" t="s">
        <v>24</v>
      </c>
    </row>
    <row r="23" spans="2:8" ht="15" customHeight="1" x14ac:dyDescent="0.3">
      <c r="B23" s="4" t="s">
        <v>25</v>
      </c>
      <c r="C23" s="4" t="s">
        <v>26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>
      <selection activeCell="B17" sqref="B17:H17"/>
    </sheetView>
  </sheetViews>
  <sheetFormatPr defaultColWidth="8.6640625" defaultRowHeight="14.4" x14ac:dyDescent="0.3"/>
  <cols>
    <col min="1" max="2" width="40" customWidth="1"/>
    <col min="3" max="3" width="35" customWidth="1"/>
    <col min="4" max="4" width="12" customWidth="1"/>
    <col min="5" max="8" width="40" customWidth="1"/>
  </cols>
  <sheetData>
    <row r="2" spans="1:8" ht="25.5" customHeight="1" x14ac:dyDescent="0.3">
      <c r="A2" s="25" t="s">
        <v>27</v>
      </c>
      <c r="B2" s="24"/>
      <c r="C2" s="24"/>
      <c r="D2" s="24"/>
      <c r="E2" s="24"/>
      <c r="F2" s="24"/>
      <c r="G2" s="24"/>
    </row>
    <row r="4" spans="1:8" ht="30" customHeight="1" x14ac:dyDescent="0.3">
      <c r="B4" s="27" t="s">
        <v>28</v>
      </c>
      <c r="C4" s="24"/>
      <c r="D4" s="24"/>
      <c r="E4" s="24"/>
      <c r="F4" s="24"/>
      <c r="G4" s="24"/>
      <c r="H4" s="24"/>
    </row>
    <row r="6" spans="1:8" ht="23.85" customHeight="1" x14ac:dyDescent="0.3">
      <c r="B6" s="1" t="s">
        <v>3</v>
      </c>
      <c r="C6" s="1" t="s">
        <v>4</v>
      </c>
      <c r="D6" s="1" t="s">
        <v>5</v>
      </c>
      <c r="E6" s="1" t="s">
        <v>29</v>
      </c>
    </row>
    <row r="7" spans="1:8" ht="30" customHeight="1" x14ac:dyDescent="0.3">
      <c r="B7" s="9">
        <v>1</v>
      </c>
      <c r="C7" s="2" t="s">
        <v>10</v>
      </c>
      <c r="D7" s="9">
        <v>15</v>
      </c>
      <c r="E7" s="29" t="s">
        <v>30</v>
      </c>
      <c r="F7" s="30"/>
      <c r="G7" s="30"/>
      <c r="H7" s="31"/>
    </row>
    <row r="8" spans="1:8" ht="30" customHeight="1" x14ac:dyDescent="0.3">
      <c r="B8" s="9">
        <v>2</v>
      </c>
      <c r="C8" s="2" t="s">
        <v>11</v>
      </c>
      <c r="D8" s="9">
        <v>20</v>
      </c>
      <c r="E8" s="29" t="s">
        <v>31</v>
      </c>
      <c r="F8" s="30"/>
      <c r="G8" s="30"/>
      <c r="H8" s="31"/>
    </row>
    <row r="9" spans="1:8" ht="30" customHeight="1" x14ac:dyDescent="0.3">
      <c r="B9" s="9">
        <v>3</v>
      </c>
      <c r="C9" s="2" t="s">
        <v>12</v>
      </c>
      <c r="D9" s="9">
        <v>20</v>
      </c>
      <c r="E9" s="29" t="s">
        <v>32</v>
      </c>
      <c r="F9" s="30"/>
      <c r="G9" s="30"/>
      <c r="H9" s="31"/>
    </row>
    <row r="10" spans="1:8" ht="30" customHeight="1" x14ac:dyDescent="0.3">
      <c r="B10" s="9">
        <v>4</v>
      </c>
      <c r="C10" s="2" t="s">
        <v>13</v>
      </c>
      <c r="D10" s="9">
        <v>15</v>
      </c>
      <c r="E10" s="29" t="s">
        <v>33</v>
      </c>
      <c r="F10" s="30"/>
      <c r="G10" s="30"/>
      <c r="H10" s="31"/>
    </row>
    <row r="11" spans="1:8" ht="30" customHeight="1" x14ac:dyDescent="0.3">
      <c r="B11" s="9">
        <v>5</v>
      </c>
      <c r="C11" s="2" t="s">
        <v>14</v>
      </c>
      <c r="D11" s="9">
        <v>10</v>
      </c>
      <c r="E11" s="29" t="s">
        <v>34</v>
      </c>
      <c r="F11" s="30"/>
      <c r="G11" s="30"/>
      <c r="H11" s="31"/>
    </row>
    <row r="12" spans="1:8" ht="30" customHeight="1" x14ac:dyDescent="0.3">
      <c r="B12" s="9">
        <v>6</v>
      </c>
      <c r="C12" s="2" t="s">
        <v>15</v>
      </c>
      <c r="D12" s="9">
        <v>10</v>
      </c>
      <c r="E12" s="29" t="s">
        <v>35</v>
      </c>
      <c r="F12" s="30"/>
      <c r="G12" s="30"/>
      <c r="H12" s="31"/>
    </row>
    <row r="13" spans="1:8" ht="30" customHeight="1" x14ac:dyDescent="0.3">
      <c r="B13" s="9">
        <v>7</v>
      </c>
      <c r="C13" s="2" t="s">
        <v>16</v>
      </c>
      <c r="D13" s="9">
        <v>10</v>
      </c>
      <c r="E13" s="29" t="s">
        <v>36</v>
      </c>
      <c r="F13" s="30"/>
      <c r="G13" s="30"/>
      <c r="H13" s="31"/>
    </row>
    <row r="14" spans="1:8" ht="15" customHeight="1" x14ac:dyDescent="0.3">
      <c r="B14" s="3"/>
      <c r="C14" s="15" t="s">
        <v>37</v>
      </c>
      <c r="D14" s="17">
        <v>100</v>
      </c>
      <c r="E14" s="3"/>
      <c r="F14" s="3"/>
      <c r="G14" s="3"/>
      <c r="H14" s="3"/>
    </row>
    <row r="16" spans="1:8" ht="15" customHeight="1" x14ac:dyDescent="0.3">
      <c r="B16" s="16" t="s">
        <v>38</v>
      </c>
    </row>
    <row r="17" spans="2:8" ht="25.5" customHeight="1" x14ac:dyDescent="0.3">
      <c r="B17" s="32" t="s">
        <v>39</v>
      </c>
      <c r="C17" s="24"/>
      <c r="D17" s="24"/>
      <c r="E17" s="24"/>
      <c r="F17" s="24"/>
      <c r="G17" s="24"/>
      <c r="H17" s="24"/>
    </row>
    <row r="18" spans="2:8" ht="25.5" customHeight="1" x14ac:dyDescent="0.3">
      <c r="B18" s="32" t="s">
        <v>40</v>
      </c>
      <c r="C18" s="24"/>
      <c r="D18" s="24"/>
      <c r="E18" s="24"/>
      <c r="F18" s="24"/>
      <c r="G18" s="24"/>
      <c r="H18" s="24"/>
    </row>
    <row r="19" spans="2:8" ht="25.5" customHeight="1" x14ac:dyDescent="0.3">
      <c r="B19" s="32" t="s">
        <v>41</v>
      </c>
      <c r="C19" s="24"/>
      <c r="D19" s="24"/>
      <c r="E19" s="24"/>
      <c r="F19" s="24"/>
      <c r="G19" s="24"/>
      <c r="H19" s="24"/>
    </row>
    <row r="20" spans="2:8" ht="25.5" customHeight="1" x14ac:dyDescent="0.3">
      <c r="B20" s="32" t="s">
        <v>42</v>
      </c>
      <c r="C20" s="24"/>
      <c r="D20" s="24"/>
      <c r="E20" s="24"/>
      <c r="F20" s="24"/>
      <c r="G20" s="24"/>
      <c r="H20" s="24"/>
    </row>
    <row r="21" spans="2:8" ht="25.5" customHeight="1" x14ac:dyDescent="0.3">
      <c r="B21" s="32" t="s">
        <v>43</v>
      </c>
      <c r="C21" s="24"/>
      <c r="D21" s="24"/>
      <c r="E21" s="24"/>
      <c r="F21" s="24"/>
      <c r="G21" s="24"/>
      <c r="H21" s="24"/>
    </row>
  </sheetData>
  <mergeCells count="14">
    <mergeCell ref="B4:H4"/>
    <mergeCell ref="E12:H12"/>
    <mergeCell ref="B21:H21"/>
    <mergeCell ref="A2:G2"/>
    <mergeCell ref="E7:H7"/>
    <mergeCell ref="E11:H11"/>
    <mergeCell ref="B19:H19"/>
    <mergeCell ref="B20:H20"/>
    <mergeCell ref="E13:H13"/>
    <mergeCell ref="E9:H9"/>
    <mergeCell ref="B17:H17"/>
    <mergeCell ref="B18:H18"/>
    <mergeCell ref="E8:H8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="41" zoomScaleNormal="100" workbookViewId="0">
      <pane xSplit="2" ySplit="6" topLeftCell="E7" activePane="bottomRight" state="frozen"/>
      <selection pane="topRight" activeCell="C1" sqref="C1"/>
      <selection pane="bottomLeft" activeCell="A7" sqref="A7"/>
      <selection pane="bottomRight" activeCell="E36" sqref="E36"/>
    </sheetView>
  </sheetViews>
  <sheetFormatPr defaultColWidth="8.6640625" defaultRowHeight="14.4" x14ac:dyDescent="0.3"/>
  <cols>
    <col min="1" max="1" width="22" customWidth="1"/>
    <col min="2" max="2" width="40" customWidth="1"/>
    <col min="3" max="3" width="14" customWidth="1"/>
    <col min="4" max="4" width="19" customWidth="1"/>
    <col min="5" max="5" width="40" customWidth="1"/>
    <col min="6" max="6" width="30" customWidth="1"/>
    <col min="7" max="7" width="25" customWidth="1"/>
    <col min="8" max="8" width="16" customWidth="1"/>
    <col min="9" max="9" width="14" customWidth="1"/>
    <col min="10" max="10" width="37" customWidth="1"/>
    <col min="11" max="11" width="19" customWidth="1"/>
  </cols>
  <sheetData>
    <row r="2" spans="1:11" ht="25.5" customHeight="1" x14ac:dyDescent="0.3">
      <c r="A2" s="25" t="s">
        <v>44</v>
      </c>
      <c r="B2" s="24"/>
      <c r="C2" s="24"/>
      <c r="D2" s="24"/>
      <c r="E2" s="24"/>
      <c r="F2" s="24"/>
      <c r="G2" s="24"/>
      <c r="H2" s="24"/>
      <c r="I2" s="24"/>
      <c r="J2" s="24"/>
    </row>
    <row r="3" spans="1:11" ht="15" customHeight="1" x14ac:dyDescent="0.3">
      <c r="B3" s="27" t="s">
        <v>45</v>
      </c>
      <c r="C3" s="24"/>
      <c r="D3" s="24"/>
      <c r="E3" s="24"/>
      <c r="F3" s="24"/>
      <c r="G3" s="24"/>
      <c r="H3" s="24"/>
      <c r="I3" s="24"/>
      <c r="J3" s="24"/>
      <c r="K3" s="24"/>
    </row>
    <row r="5" spans="1:11" ht="31.5" customHeight="1" x14ac:dyDescent="0.3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 ht="15" customHeight="1" x14ac:dyDescent="0.3">
      <c r="B6" s="5" t="s">
        <v>56</v>
      </c>
      <c r="C6" s="18">
        <v>1510075</v>
      </c>
      <c r="D6" s="18">
        <v>181209</v>
      </c>
      <c r="E6" s="18">
        <v>120806</v>
      </c>
      <c r="F6" s="18">
        <v>75504</v>
      </c>
      <c r="G6" s="18">
        <v>30202</v>
      </c>
      <c r="H6" s="18">
        <v>45302</v>
      </c>
      <c r="I6" s="18">
        <v>15101</v>
      </c>
      <c r="J6" s="5">
        <f>SUM(D6:I6)</f>
        <v>468124</v>
      </c>
      <c r="K6" s="5" t="s">
        <v>57</v>
      </c>
    </row>
    <row r="7" spans="1:11" ht="15" customHeight="1" x14ac:dyDescent="0.3">
      <c r="B7" s="6" t="s">
        <v>58</v>
      </c>
      <c r="C7" s="19">
        <v>999777</v>
      </c>
      <c r="D7" s="19">
        <v>119973</v>
      </c>
      <c r="E7" s="19">
        <v>79982</v>
      </c>
      <c r="F7" s="19">
        <v>49989</v>
      </c>
      <c r="G7" s="19">
        <v>19996</v>
      </c>
      <c r="H7" s="19">
        <v>29993</v>
      </c>
      <c r="I7" s="19">
        <v>9998</v>
      </c>
      <c r="J7" s="7">
        <f t="shared" ref="J7:J25" si="0">IF(SUM(D7:I7)=0,"",SUM(D7:I7))</f>
        <v>309931</v>
      </c>
      <c r="K7" s="6" t="s">
        <v>57</v>
      </c>
    </row>
    <row r="8" spans="1:11" ht="15" customHeight="1" x14ac:dyDescent="0.3">
      <c r="B8" s="6" t="s">
        <v>59</v>
      </c>
      <c r="C8" s="19">
        <v>814010</v>
      </c>
      <c r="D8" s="19">
        <v>146522</v>
      </c>
      <c r="E8" s="19">
        <v>97681</v>
      </c>
      <c r="F8" s="19">
        <v>61051</v>
      </c>
      <c r="G8" s="19">
        <v>24420</v>
      </c>
      <c r="H8" s="19">
        <v>36630</v>
      </c>
      <c r="I8" s="19">
        <v>12210</v>
      </c>
      <c r="J8" s="7">
        <f t="shared" si="0"/>
        <v>378514</v>
      </c>
      <c r="K8" s="6" t="s">
        <v>57</v>
      </c>
    </row>
    <row r="9" spans="1:11" ht="15" customHeight="1" x14ac:dyDescent="0.3">
      <c r="B9" s="6" t="s">
        <v>60</v>
      </c>
      <c r="C9" s="19">
        <v>580320</v>
      </c>
      <c r="D9" s="19">
        <v>104458</v>
      </c>
      <c r="E9" s="19">
        <v>69638</v>
      </c>
      <c r="F9" s="19">
        <v>43524</v>
      </c>
      <c r="G9" s="19">
        <v>17410</v>
      </c>
      <c r="H9" s="19">
        <v>26114</v>
      </c>
      <c r="I9" s="19">
        <v>8705</v>
      </c>
      <c r="J9" s="7">
        <f t="shared" si="0"/>
        <v>269849</v>
      </c>
      <c r="K9" s="6" t="s">
        <v>57</v>
      </c>
    </row>
    <row r="10" spans="1:11" ht="15" customHeight="1" x14ac:dyDescent="0.3">
      <c r="B10" s="6" t="s">
        <v>61</v>
      </c>
      <c r="C10" s="19">
        <v>529855</v>
      </c>
      <c r="D10" s="19">
        <v>95374</v>
      </c>
      <c r="E10" s="19">
        <v>63583</v>
      </c>
      <c r="F10" s="19">
        <v>39739</v>
      </c>
      <c r="G10" s="19">
        <v>15896</v>
      </c>
      <c r="H10" s="19">
        <v>23843</v>
      </c>
      <c r="I10" s="19">
        <v>7948</v>
      </c>
      <c r="J10" s="7">
        <f t="shared" si="0"/>
        <v>246383</v>
      </c>
      <c r="K10" s="6" t="s">
        <v>57</v>
      </c>
    </row>
    <row r="11" spans="1:11" ht="15" customHeight="1" x14ac:dyDescent="0.3">
      <c r="B11" s="6" t="s">
        <v>62</v>
      </c>
      <c r="C11" s="19">
        <v>521173</v>
      </c>
      <c r="D11" s="19">
        <v>62541</v>
      </c>
      <c r="E11" s="19">
        <v>41694</v>
      </c>
      <c r="F11" s="19">
        <v>26059</v>
      </c>
      <c r="G11" s="19">
        <v>10423</v>
      </c>
      <c r="H11" s="19">
        <v>15635</v>
      </c>
      <c r="I11" s="19">
        <v>5212</v>
      </c>
      <c r="J11" s="7">
        <f t="shared" si="0"/>
        <v>161564</v>
      </c>
      <c r="K11" s="6" t="s">
        <v>57</v>
      </c>
    </row>
    <row r="12" spans="1:11" ht="15" customHeight="1" x14ac:dyDescent="0.3">
      <c r="B12" s="6" t="s">
        <v>63</v>
      </c>
      <c r="C12" s="19">
        <v>519080</v>
      </c>
      <c r="D12" s="19">
        <v>62290</v>
      </c>
      <c r="E12" s="19">
        <v>41526</v>
      </c>
      <c r="F12" s="19">
        <v>25954</v>
      </c>
      <c r="G12" s="19">
        <v>10382</v>
      </c>
      <c r="H12" s="19">
        <v>15572</v>
      </c>
      <c r="I12" s="19">
        <v>5191</v>
      </c>
      <c r="J12" s="7">
        <f t="shared" si="0"/>
        <v>160915</v>
      </c>
      <c r="K12" s="6" t="s">
        <v>57</v>
      </c>
    </row>
    <row r="13" spans="1:11" ht="15" customHeight="1" x14ac:dyDescent="0.3">
      <c r="B13" s="6" t="s">
        <v>64</v>
      </c>
      <c r="C13" s="19">
        <v>454768</v>
      </c>
      <c r="D13" s="19">
        <v>54572</v>
      </c>
      <c r="E13" s="19">
        <v>36381</v>
      </c>
      <c r="F13" s="19">
        <v>22738</v>
      </c>
      <c r="G13" s="19">
        <v>9095</v>
      </c>
      <c r="H13" s="19">
        <v>13643</v>
      </c>
      <c r="I13" s="19">
        <v>4548</v>
      </c>
      <c r="J13" s="7">
        <f t="shared" si="0"/>
        <v>140977</v>
      </c>
      <c r="K13" s="6" t="s">
        <v>57</v>
      </c>
    </row>
    <row r="14" spans="1:11" ht="15" customHeight="1" x14ac:dyDescent="0.3">
      <c r="B14" s="6" t="s">
        <v>65</v>
      </c>
      <c r="C14" s="19">
        <v>437903</v>
      </c>
      <c r="D14" s="19">
        <v>52548</v>
      </c>
      <c r="E14" s="19">
        <v>35032</v>
      </c>
      <c r="F14" s="19">
        <v>21895</v>
      </c>
      <c r="G14" s="19">
        <v>8758</v>
      </c>
      <c r="H14" s="19">
        <v>13137</v>
      </c>
      <c r="I14" s="19">
        <v>4379</v>
      </c>
      <c r="J14" s="7">
        <f t="shared" si="0"/>
        <v>135749</v>
      </c>
      <c r="K14" s="6" t="s">
        <v>57</v>
      </c>
    </row>
    <row r="15" spans="1:11" ht="15" customHeight="1" x14ac:dyDescent="0.3">
      <c r="B15" s="6" t="s">
        <v>66</v>
      </c>
      <c r="C15" s="19">
        <v>381956</v>
      </c>
      <c r="D15" s="19">
        <v>45835</v>
      </c>
      <c r="E15" s="19">
        <v>30556</v>
      </c>
      <c r="F15" s="19">
        <v>19098</v>
      </c>
      <c r="G15" s="19">
        <v>7639</v>
      </c>
      <c r="H15" s="19">
        <v>11459</v>
      </c>
      <c r="I15" s="19">
        <v>3820</v>
      </c>
      <c r="J15" s="7">
        <f t="shared" si="0"/>
        <v>118407</v>
      </c>
      <c r="K15" s="6" t="s">
        <v>57</v>
      </c>
    </row>
    <row r="16" spans="1:11" ht="15" customHeight="1" x14ac:dyDescent="0.3">
      <c r="B16" s="6" t="s">
        <v>67</v>
      </c>
      <c r="C16" s="19">
        <v>84121</v>
      </c>
      <c r="D16" s="19">
        <v>5047</v>
      </c>
      <c r="E16" s="19">
        <v>3365</v>
      </c>
      <c r="F16" s="19">
        <v>2103</v>
      </c>
      <c r="G16" s="19">
        <v>841</v>
      </c>
      <c r="H16" s="19">
        <v>1262</v>
      </c>
      <c r="I16" s="19">
        <v>421</v>
      </c>
      <c r="J16" s="7">
        <f t="shared" si="0"/>
        <v>13039</v>
      </c>
      <c r="K16" s="6" t="s">
        <v>57</v>
      </c>
    </row>
    <row r="17" spans="2:11" ht="15" customHeight="1" x14ac:dyDescent="0.3">
      <c r="B17" s="6" t="s">
        <v>68</v>
      </c>
      <c r="C17" s="19">
        <v>31564</v>
      </c>
      <c r="D17" s="19">
        <v>1894</v>
      </c>
      <c r="E17" s="19">
        <v>1263</v>
      </c>
      <c r="F17" s="19">
        <v>789</v>
      </c>
      <c r="G17" s="19">
        <v>316</v>
      </c>
      <c r="H17" s="19">
        <v>473</v>
      </c>
      <c r="I17" s="19">
        <v>158</v>
      </c>
      <c r="J17" s="7">
        <f t="shared" si="0"/>
        <v>4893</v>
      </c>
      <c r="K17" s="6" t="s">
        <v>57</v>
      </c>
    </row>
    <row r="18" spans="2:11" ht="15" customHeight="1" x14ac:dyDescent="0.3">
      <c r="B18" s="6"/>
      <c r="C18" s="6"/>
      <c r="D18" s="6"/>
      <c r="E18" s="6"/>
      <c r="F18" s="6"/>
      <c r="G18" s="6"/>
      <c r="H18" s="6"/>
      <c r="I18" s="6"/>
      <c r="J18" s="7" t="str">
        <f t="shared" si="0"/>
        <v/>
      </c>
      <c r="K18" s="6"/>
    </row>
    <row r="19" spans="2:11" ht="15" customHeight="1" x14ac:dyDescent="0.3">
      <c r="B19" s="6"/>
      <c r="C19" s="6"/>
      <c r="D19" s="6"/>
      <c r="E19" s="6"/>
      <c r="F19" s="6"/>
      <c r="G19" s="6"/>
      <c r="H19" s="6"/>
      <c r="I19" s="6"/>
      <c r="J19" s="7" t="str">
        <f t="shared" si="0"/>
        <v/>
      </c>
      <c r="K19" s="6"/>
    </row>
    <row r="20" spans="2:11" ht="15" customHeight="1" x14ac:dyDescent="0.3">
      <c r="B20" s="6"/>
      <c r="C20" s="6"/>
      <c r="D20" s="6"/>
      <c r="E20" s="6"/>
      <c r="F20" s="6"/>
      <c r="G20" s="6"/>
      <c r="H20" s="6"/>
      <c r="I20" s="6"/>
      <c r="J20" s="7" t="str">
        <f t="shared" si="0"/>
        <v/>
      </c>
      <c r="K20" s="6"/>
    </row>
    <row r="21" spans="2:11" ht="15" customHeight="1" x14ac:dyDescent="0.3">
      <c r="B21" s="6"/>
      <c r="C21" s="6"/>
      <c r="D21" s="6"/>
      <c r="E21" s="6"/>
      <c r="F21" s="6"/>
      <c r="G21" s="6"/>
      <c r="H21" s="6"/>
      <c r="I21" s="6"/>
      <c r="J21" s="7" t="str">
        <f t="shared" si="0"/>
        <v/>
      </c>
      <c r="K21" s="6"/>
    </row>
    <row r="22" spans="2:11" ht="15" customHeight="1" x14ac:dyDescent="0.3">
      <c r="B22" s="6"/>
      <c r="C22" s="6"/>
      <c r="D22" s="6"/>
      <c r="E22" s="6"/>
      <c r="F22" s="6"/>
      <c r="G22" s="6"/>
      <c r="H22" s="6"/>
      <c r="I22" s="6"/>
      <c r="J22" s="7" t="str">
        <f t="shared" si="0"/>
        <v/>
      </c>
      <c r="K22" s="6"/>
    </row>
    <row r="23" spans="2:11" ht="15" customHeight="1" x14ac:dyDescent="0.3">
      <c r="B23" s="6"/>
      <c r="C23" s="6"/>
      <c r="D23" s="6"/>
      <c r="E23" s="6"/>
      <c r="F23" s="6"/>
      <c r="G23" s="6"/>
      <c r="H23" s="6"/>
      <c r="I23" s="6"/>
      <c r="J23" s="7" t="str">
        <f t="shared" si="0"/>
        <v/>
      </c>
      <c r="K23" s="6"/>
    </row>
    <row r="24" spans="2:11" ht="15" customHeight="1" x14ac:dyDescent="0.3">
      <c r="B24" s="6"/>
      <c r="C24" s="6"/>
      <c r="D24" s="6"/>
      <c r="E24" s="6"/>
      <c r="F24" s="6"/>
      <c r="G24" s="6"/>
      <c r="H24" s="6"/>
      <c r="I24" s="6"/>
      <c r="J24" s="7" t="str">
        <f t="shared" si="0"/>
        <v/>
      </c>
      <c r="K24" s="6"/>
    </row>
    <row r="25" spans="2:11" ht="15" customHeight="1" x14ac:dyDescent="0.3">
      <c r="B25" s="6"/>
      <c r="C25" s="6"/>
      <c r="D25" s="6"/>
      <c r="E25" s="6"/>
      <c r="F25" s="6"/>
      <c r="G25" s="6"/>
      <c r="H25" s="6"/>
      <c r="I25" s="6"/>
      <c r="J25" s="7" t="str">
        <f t="shared" si="0"/>
        <v/>
      </c>
      <c r="K25" s="6"/>
    </row>
    <row r="27" spans="2:11" ht="15" customHeight="1" x14ac:dyDescent="0.3">
      <c r="B27" s="15" t="s">
        <v>69</v>
      </c>
      <c r="C27" s="15">
        <f t="shared" ref="C27:J27" si="1">SUM(C6:C25)</f>
        <v>6864602</v>
      </c>
      <c r="D27" s="15">
        <f t="shared" si="1"/>
        <v>932263</v>
      </c>
      <c r="E27" s="15">
        <f t="shared" si="1"/>
        <v>621507</v>
      </c>
      <c r="F27" s="15">
        <f t="shared" si="1"/>
        <v>388443</v>
      </c>
      <c r="G27" s="15">
        <f t="shared" si="1"/>
        <v>155378</v>
      </c>
      <c r="H27" s="15">
        <f t="shared" si="1"/>
        <v>233063</v>
      </c>
      <c r="I27" s="15">
        <f t="shared" si="1"/>
        <v>77691</v>
      </c>
      <c r="J27" s="15">
        <f t="shared" si="1"/>
        <v>2408345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="49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16" customWidth="1"/>
    <col min="2" max="3" width="40" customWidth="1"/>
    <col min="4" max="4" width="16" customWidth="1"/>
    <col min="5" max="5" width="31" customWidth="1"/>
    <col min="6" max="6" width="28" customWidth="1"/>
    <col min="7" max="7" width="30" customWidth="1"/>
    <col min="8" max="8" width="18" customWidth="1"/>
  </cols>
  <sheetData>
    <row r="2" spans="1:8" ht="25.5" customHeight="1" x14ac:dyDescent="0.3">
      <c r="A2" s="25" t="s">
        <v>70</v>
      </c>
      <c r="B2" s="24"/>
      <c r="C2" s="24"/>
      <c r="D2" s="24"/>
      <c r="E2" s="24"/>
      <c r="F2" s="24"/>
      <c r="G2" s="24"/>
    </row>
    <row r="3" spans="1:8" ht="15" customHeight="1" x14ac:dyDescent="0.3">
      <c r="B3" s="27" t="s">
        <v>71</v>
      </c>
      <c r="C3" s="24"/>
      <c r="D3" s="24"/>
      <c r="E3" s="24"/>
      <c r="F3" s="24"/>
      <c r="G3" s="24"/>
      <c r="H3" s="24"/>
    </row>
    <row r="5" spans="1:8" ht="31.5" customHeight="1" x14ac:dyDescent="0.3">
      <c r="B5" s="1" t="s">
        <v>46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</row>
    <row r="6" spans="1:8" ht="23.85" customHeight="1" x14ac:dyDescent="0.3">
      <c r="B6" s="5" t="s">
        <v>56</v>
      </c>
      <c r="C6" s="5">
        <f>IFERROR(INDEX('1_Generation_Inventory'!$J$6:$J$25,MATCH(B6,'1_Generation_Inventory'!$B$6:$B$25,0)),0)</f>
        <v>468124</v>
      </c>
      <c r="D6" s="18">
        <v>75504</v>
      </c>
      <c r="E6" s="18">
        <v>3</v>
      </c>
      <c r="F6" s="18">
        <v>80504</v>
      </c>
      <c r="G6" s="18">
        <v>67954</v>
      </c>
      <c r="H6" s="5" t="s">
        <v>78</v>
      </c>
    </row>
    <row r="7" spans="1:8" ht="15" customHeight="1" x14ac:dyDescent="0.3">
      <c r="B7" s="6" t="s">
        <v>58</v>
      </c>
      <c r="C7" s="7">
        <f>IFERROR(INDEX('1_Generation_Inventory'!$J$6:$J$25,MATCH(B7,'1_Generation_Inventory'!$B$6:$B$25,0)),"")</f>
        <v>309931</v>
      </c>
      <c r="D7" s="19">
        <v>9998</v>
      </c>
      <c r="E7" s="19">
        <v>1</v>
      </c>
      <c r="F7" s="19">
        <v>10998</v>
      </c>
      <c r="G7" s="19">
        <v>8998</v>
      </c>
      <c r="H7" s="6" t="s">
        <v>78</v>
      </c>
    </row>
    <row r="8" spans="1:8" ht="15" customHeight="1" x14ac:dyDescent="0.3">
      <c r="B8" s="6" t="s">
        <v>59</v>
      </c>
      <c r="C8" s="7">
        <f>IFERROR(INDEX('1_Generation_Inventory'!$J$6:$J$25,MATCH(B8,'1_Generation_Inventory'!$B$6:$B$25,0)),"")</f>
        <v>378514</v>
      </c>
      <c r="D8" s="19">
        <v>40700</v>
      </c>
      <c r="E8" s="19">
        <v>3</v>
      </c>
      <c r="F8" s="19">
        <v>45700</v>
      </c>
      <c r="G8" s="19">
        <v>36630</v>
      </c>
      <c r="H8" s="6" t="s">
        <v>78</v>
      </c>
    </row>
    <row r="9" spans="1:8" ht="15" customHeight="1" x14ac:dyDescent="0.3">
      <c r="B9" s="6" t="s">
        <v>60</v>
      </c>
      <c r="C9" s="7">
        <f>IFERROR(INDEX('1_Generation_Inventory'!$J$6:$J$25,MATCH(B9,'1_Generation_Inventory'!$B$6:$B$25,0)),"")</f>
        <v>269849</v>
      </c>
      <c r="D9" s="19">
        <v>29016</v>
      </c>
      <c r="E9" s="19">
        <v>3</v>
      </c>
      <c r="F9" s="19">
        <v>34016</v>
      </c>
      <c r="G9" s="19">
        <v>26114</v>
      </c>
      <c r="H9" s="6" t="s">
        <v>78</v>
      </c>
    </row>
    <row r="10" spans="1:8" ht="15" customHeight="1" x14ac:dyDescent="0.3">
      <c r="B10" s="6" t="s">
        <v>61</v>
      </c>
      <c r="C10" s="7">
        <f>IFERROR(INDEX('1_Generation_Inventory'!$J$6:$J$25,MATCH(B10,'1_Generation_Inventory'!$B$6:$B$25,0)),"")</f>
        <v>246383</v>
      </c>
      <c r="D10" s="19">
        <v>5299</v>
      </c>
      <c r="E10" s="19">
        <v>1</v>
      </c>
      <c r="F10" s="19">
        <v>6299</v>
      </c>
      <c r="G10" s="19">
        <v>4769</v>
      </c>
      <c r="H10" s="6" t="s">
        <v>78</v>
      </c>
    </row>
    <row r="11" spans="1:8" ht="15" customHeight="1" x14ac:dyDescent="0.3">
      <c r="B11" s="6" t="s">
        <v>62</v>
      </c>
      <c r="C11" s="7">
        <f>IFERROR(INDEX('1_Generation_Inventory'!$J$6:$J$25,MATCH(B11,'1_Generation_Inventory'!$B$6:$B$25,0)),"")</f>
        <v>161564</v>
      </c>
      <c r="D11" s="19">
        <v>5212</v>
      </c>
      <c r="E11" s="19">
        <v>1</v>
      </c>
      <c r="F11" s="19">
        <v>6212</v>
      </c>
      <c r="G11" s="19">
        <v>4691</v>
      </c>
      <c r="H11" s="6" t="s">
        <v>78</v>
      </c>
    </row>
    <row r="12" spans="1:8" ht="15" customHeight="1" x14ac:dyDescent="0.3">
      <c r="B12" s="6" t="s">
        <v>63</v>
      </c>
      <c r="C12" s="7">
        <f>IFERROR(INDEX('1_Generation_Inventory'!$J$6:$J$25,MATCH(B12,'1_Generation_Inventory'!$B$6:$B$25,0)),"")</f>
        <v>160915</v>
      </c>
      <c r="D12" s="19">
        <v>5191</v>
      </c>
      <c r="E12" s="19">
        <v>1</v>
      </c>
      <c r="F12" s="19">
        <v>6191</v>
      </c>
      <c r="G12" s="19">
        <v>4672</v>
      </c>
      <c r="H12" s="6" t="s">
        <v>78</v>
      </c>
    </row>
    <row r="13" spans="1:8" ht="15" customHeight="1" x14ac:dyDescent="0.3">
      <c r="B13" s="6" t="s">
        <v>64</v>
      </c>
      <c r="C13" s="7">
        <f>IFERROR(INDEX('1_Generation_Inventory'!$J$6:$J$25,MATCH(B13,'1_Generation_Inventory'!$B$6:$B$25,0)),"")</f>
        <v>140977</v>
      </c>
      <c r="D13" s="19">
        <v>4548</v>
      </c>
      <c r="E13" s="19">
        <v>1</v>
      </c>
      <c r="F13" s="19">
        <v>5548</v>
      </c>
      <c r="G13" s="19">
        <v>4093</v>
      </c>
      <c r="H13" s="6" t="s">
        <v>78</v>
      </c>
    </row>
    <row r="14" spans="1:8" ht="15" customHeight="1" x14ac:dyDescent="0.3">
      <c r="B14" s="6" t="s">
        <v>65</v>
      </c>
      <c r="C14" s="7">
        <f>IFERROR(INDEX('1_Generation_Inventory'!$J$6:$J$25,MATCH(B14,'1_Generation_Inventory'!$B$6:$B$25,0)),"")</f>
        <v>135749</v>
      </c>
      <c r="D14" s="19">
        <v>4379</v>
      </c>
      <c r="E14" s="19">
        <v>1</v>
      </c>
      <c r="F14" s="19">
        <v>5379</v>
      </c>
      <c r="G14" s="19">
        <v>3941</v>
      </c>
      <c r="H14" s="6" t="s">
        <v>78</v>
      </c>
    </row>
    <row r="15" spans="1:8" ht="15" customHeight="1" x14ac:dyDescent="0.3">
      <c r="B15" s="6" t="s">
        <v>66</v>
      </c>
      <c r="C15" s="7">
        <f>IFERROR(INDEX('1_Generation_Inventory'!$J$6:$J$25,MATCH(B15,'1_Generation_Inventory'!$B$6:$B$25,0)),"")</f>
        <v>118407</v>
      </c>
      <c r="D15" s="19">
        <v>3820</v>
      </c>
      <c r="E15" s="19">
        <v>0</v>
      </c>
      <c r="F15" s="19">
        <v>4820</v>
      </c>
      <c r="G15" s="19">
        <v>3438</v>
      </c>
      <c r="H15" s="6" t="s">
        <v>78</v>
      </c>
    </row>
    <row r="16" spans="1:8" ht="15" customHeight="1" x14ac:dyDescent="0.3">
      <c r="B16" s="6" t="s">
        <v>67</v>
      </c>
      <c r="C16" s="7">
        <f>IFERROR(INDEX('1_Generation_Inventory'!$J$6:$J$25,MATCH(B16,'1_Generation_Inventory'!$B$6:$B$25,0)),"")</f>
        <v>13039</v>
      </c>
      <c r="D16" s="19">
        <v>841</v>
      </c>
      <c r="E16" s="19">
        <v>0</v>
      </c>
      <c r="F16" s="19">
        <v>1841</v>
      </c>
      <c r="G16" s="19">
        <v>757</v>
      </c>
      <c r="H16" s="6" t="s">
        <v>78</v>
      </c>
    </row>
    <row r="17" spans="2:8" ht="15" customHeight="1" x14ac:dyDescent="0.3">
      <c r="B17" s="6" t="s">
        <v>68</v>
      </c>
      <c r="C17" s="7">
        <f>IFERROR(INDEX('1_Generation_Inventory'!$J$6:$J$25,MATCH(B17,'1_Generation_Inventory'!$B$6:$B$25,0)),"")</f>
        <v>4893</v>
      </c>
      <c r="D17" s="19">
        <v>316</v>
      </c>
      <c r="E17" s="19">
        <v>0</v>
      </c>
      <c r="F17" s="19">
        <v>1316</v>
      </c>
      <c r="G17" s="19">
        <v>284</v>
      </c>
      <c r="H17" s="6" t="s">
        <v>78</v>
      </c>
    </row>
    <row r="18" spans="2:8" ht="15" customHeight="1" x14ac:dyDescent="0.3">
      <c r="B18" s="6"/>
      <c r="C18" s="7" t="str">
        <f>IFERROR(INDEX('1_Generation_Inventory'!$J$6:$J$25,MATCH(B18,'1_Generation_Inventory'!$B$6:$B$25,0)),"")</f>
        <v/>
      </c>
      <c r="D18" s="6"/>
      <c r="E18" s="6"/>
      <c r="F18" s="6"/>
      <c r="G18" s="6"/>
      <c r="H18" s="6"/>
    </row>
    <row r="19" spans="2:8" ht="15" customHeight="1" x14ac:dyDescent="0.3">
      <c r="B19" s="6"/>
      <c r="C19" s="7" t="str">
        <f>IFERROR(INDEX('1_Generation_Inventory'!$J$6:$J$25,MATCH(B19,'1_Generation_Inventory'!$B$6:$B$25,0)),"")</f>
        <v/>
      </c>
      <c r="D19" s="6"/>
      <c r="E19" s="6"/>
      <c r="F19" s="6"/>
      <c r="G19" s="6"/>
      <c r="H19" s="6"/>
    </row>
    <row r="20" spans="2:8" ht="15" customHeight="1" x14ac:dyDescent="0.3">
      <c r="B20" s="6"/>
      <c r="C20" s="7" t="str">
        <f>IFERROR(INDEX('1_Generation_Inventory'!$J$6:$J$25,MATCH(B20,'1_Generation_Inventory'!$B$6:$B$25,0)),"")</f>
        <v/>
      </c>
      <c r="D20" s="6"/>
      <c r="E20" s="6"/>
      <c r="F20" s="6"/>
      <c r="G20" s="6"/>
      <c r="H20" s="6"/>
    </row>
    <row r="21" spans="2:8" ht="15" customHeight="1" x14ac:dyDescent="0.3">
      <c r="B21" s="6"/>
      <c r="C21" s="7" t="str">
        <f>IFERROR(INDEX('1_Generation_Inventory'!$J$6:$J$25,MATCH(B21,'1_Generation_Inventory'!$B$6:$B$25,0)),"")</f>
        <v/>
      </c>
      <c r="D21" s="6"/>
      <c r="E21" s="6"/>
      <c r="F21" s="6"/>
      <c r="G21" s="6"/>
      <c r="H21" s="6"/>
    </row>
    <row r="22" spans="2:8" ht="15" customHeight="1" x14ac:dyDescent="0.3">
      <c r="B22" s="6"/>
      <c r="C22" s="7" t="str">
        <f>IFERROR(INDEX('1_Generation_Inventory'!$J$6:$J$25,MATCH(B22,'1_Generation_Inventory'!$B$6:$B$25,0)),"")</f>
        <v/>
      </c>
      <c r="D22" s="6"/>
      <c r="E22" s="6"/>
      <c r="F22" s="6"/>
      <c r="G22" s="6"/>
      <c r="H22" s="6"/>
    </row>
    <row r="23" spans="2:8" ht="15" customHeight="1" x14ac:dyDescent="0.3">
      <c r="B23" s="6"/>
      <c r="C23" s="7" t="str">
        <f>IFERROR(INDEX('1_Generation_Inventory'!$J$6:$J$25,MATCH(B23,'1_Generation_Inventory'!$B$6:$B$25,0)),"")</f>
        <v/>
      </c>
      <c r="D23" s="6"/>
      <c r="E23" s="6"/>
      <c r="F23" s="6"/>
      <c r="G23" s="6"/>
      <c r="H23" s="6"/>
    </row>
    <row r="24" spans="2:8" ht="15" customHeight="1" x14ac:dyDescent="0.3">
      <c r="B24" s="6"/>
      <c r="C24" s="7" t="str">
        <f>IFERROR(INDEX('1_Generation_Inventory'!$J$6:$J$25,MATCH(B24,'1_Generation_Inventory'!$B$6:$B$25,0)),"")</f>
        <v/>
      </c>
      <c r="D24" s="6"/>
      <c r="E24" s="6"/>
      <c r="F24" s="6"/>
      <c r="G24" s="6"/>
      <c r="H24" s="6"/>
    </row>
    <row r="25" spans="2:8" ht="15" customHeight="1" x14ac:dyDescent="0.3">
      <c r="B25" s="6"/>
      <c r="C25" s="7" t="str">
        <f>IFERROR(INDEX('1_Generation_Inventory'!$J$6:$J$25,MATCH(B25,'1_Generation_Inventory'!$B$6:$B$25,0)),"")</f>
        <v/>
      </c>
      <c r="D25" s="6"/>
      <c r="E25" s="6"/>
      <c r="F25" s="6"/>
      <c r="G25" s="6"/>
      <c r="H25" s="6"/>
    </row>
    <row r="27" spans="2:8" ht="15" customHeight="1" x14ac:dyDescent="0.3">
      <c r="B27" s="15" t="s">
        <v>69</v>
      </c>
      <c r="C27" s="15">
        <f>SUM(C6:C25)</f>
        <v>2408345</v>
      </c>
      <c r="D27" s="15">
        <f>SUM(D6:D25)</f>
        <v>184824</v>
      </c>
      <c r="E27" s="15">
        <f>SUM(E6:E25)</f>
        <v>15</v>
      </c>
      <c r="F27" s="15">
        <f>SUM(F6:F25)</f>
        <v>208824</v>
      </c>
      <c r="G27" s="15">
        <f>SUM(G6:G25)</f>
        <v>166341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="4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26" customWidth="1"/>
    <col min="2" max="2" width="40" customWidth="1"/>
    <col min="3" max="3" width="29" customWidth="1"/>
    <col min="4" max="4" width="14" customWidth="1"/>
    <col min="5" max="5" width="32" customWidth="1"/>
    <col min="6" max="6" width="39" customWidth="1"/>
    <col min="7" max="7" width="28" customWidth="1"/>
    <col min="8" max="8" width="26" customWidth="1"/>
  </cols>
  <sheetData>
    <row r="2" spans="1:8" ht="25.5" customHeight="1" x14ac:dyDescent="0.3">
      <c r="A2" s="25" t="s">
        <v>79</v>
      </c>
      <c r="B2" s="24"/>
      <c r="C2" s="24"/>
      <c r="D2" s="24"/>
      <c r="E2" s="24"/>
      <c r="F2" s="24"/>
      <c r="G2" s="24"/>
    </row>
    <row r="3" spans="1:8" ht="15" customHeight="1" x14ac:dyDescent="0.3">
      <c r="B3" s="27" t="s">
        <v>80</v>
      </c>
      <c r="C3" s="24"/>
      <c r="D3" s="24"/>
      <c r="E3" s="24"/>
      <c r="F3" s="24"/>
      <c r="G3" s="24"/>
      <c r="H3" s="24"/>
    </row>
    <row r="5" spans="1:8" ht="31.5" customHeight="1" x14ac:dyDescent="0.3">
      <c r="B5" s="1" t="s">
        <v>81</v>
      </c>
      <c r="C5" s="1" t="s">
        <v>82</v>
      </c>
      <c r="D5" s="1" t="s">
        <v>46</v>
      </c>
      <c r="E5" s="1" t="s">
        <v>83</v>
      </c>
      <c r="F5" s="1" t="s">
        <v>84</v>
      </c>
      <c r="G5" s="1" t="s">
        <v>85</v>
      </c>
      <c r="H5" s="1" t="s">
        <v>86</v>
      </c>
    </row>
    <row r="6" spans="1:8" ht="23.85" customHeight="1" x14ac:dyDescent="0.3">
      <c r="B6" s="5" t="s">
        <v>87</v>
      </c>
      <c r="C6" s="5" t="s">
        <v>88</v>
      </c>
      <c r="D6" s="5" t="s">
        <v>60</v>
      </c>
      <c r="E6" s="18">
        <v>3500</v>
      </c>
      <c r="F6" s="18">
        <v>2100</v>
      </c>
      <c r="G6" s="20">
        <v>0.85</v>
      </c>
      <c r="H6" s="5" t="s">
        <v>89</v>
      </c>
    </row>
    <row r="7" spans="1:8" ht="15" customHeight="1" x14ac:dyDescent="0.3">
      <c r="B7" s="6" t="s">
        <v>90</v>
      </c>
      <c r="C7" s="6" t="s">
        <v>91</v>
      </c>
      <c r="D7" s="6" t="s">
        <v>60</v>
      </c>
      <c r="E7" s="19">
        <v>2000</v>
      </c>
      <c r="F7" s="19">
        <v>1200</v>
      </c>
      <c r="G7" s="21">
        <v>0.8</v>
      </c>
      <c r="H7" s="6" t="s">
        <v>92</v>
      </c>
    </row>
    <row r="8" spans="1:8" ht="15" customHeight="1" x14ac:dyDescent="0.3">
      <c r="B8" s="6" t="s">
        <v>93</v>
      </c>
      <c r="C8" s="6" t="s">
        <v>94</v>
      </c>
      <c r="D8" s="6" t="s">
        <v>61</v>
      </c>
      <c r="E8" s="19">
        <v>1500</v>
      </c>
      <c r="F8" s="19">
        <v>900</v>
      </c>
      <c r="G8" s="21">
        <v>0.78</v>
      </c>
      <c r="H8" s="6" t="s">
        <v>57</v>
      </c>
    </row>
    <row r="9" spans="1:8" ht="15" customHeight="1" x14ac:dyDescent="0.3">
      <c r="B9" s="6" t="s">
        <v>95</v>
      </c>
      <c r="C9" s="6" t="s">
        <v>96</v>
      </c>
      <c r="D9" s="6" t="s">
        <v>56</v>
      </c>
      <c r="E9" s="19">
        <v>500</v>
      </c>
      <c r="F9" s="19">
        <v>200</v>
      </c>
      <c r="G9" s="21">
        <v>0.75</v>
      </c>
      <c r="H9" s="6" t="s">
        <v>97</v>
      </c>
    </row>
    <row r="10" spans="1:8" ht="15" customHeight="1" x14ac:dyDescent="0.3">
      <c r="B10" s="6"/>
      <c r="C10" s="6"/>
      <c r="D10" s="6"/>
      <c r="E10" s="6"/>
      <c r="F10" s="6"/>
      <c r="G10" s="8"/>
      <c r="H10" s="6"/>
    </row>
    <row r="11" spans="1:8" ht="15" customHeight="1" x14ac:dyDescent="0.3">
      <c r="B11" s="6"/>
      <c r="C11" s="6"/>
      <c r="D11" s="6"/>
      <c r="E11" s="6"/>
      <c r="F11" s="6"/>
      <c r="G11" s="8"/>
      <c r="H11" s="6"/>
    </row>
    <row r="12" spans="1:8" ht="15" customHeight="1" x14ac:dyDescent="0.3">
      <c r="B12" s="6"/>
      <c r="C12" s="6"/>
      <c r="D12" s="6"/>
      <c r="E12" s="6"/>
      <c r="F12" s="6"/>
      <c r="G12" s="8"/>
      <c r="H12" s="6"/>
    </row>
    <row r="13" spans="1:8" ht="15" customHeight="1" x14ac:dyDescent="0.3">
      <c r="B13" s="6"/>
      <c r="C13" s="6"/>
      <c r="D13" s="6"/>
      <c r="E13" s="6"/>
      <c r="F13" s="6"/>
      <c r="G13" s="8"/>
      <c r="H13" s="6"/>
    </row>
    <row r="14" spans="1:8" ht="15" customHeight="1" x14ac:dyDescent="0.3">
      <c r="B14" s="6"/>
      <c r="C14" s="6"/>
      <c r="D14" s="6"/>
      <c r="E14" s="6"/>
      <c r="F14" s="6"/>
      <c r="G14" s="8"/>
      <c r="H14" s="6"/>
    </row>
    <row r="15" spans="1:8" ht="15" customHeight="1" x14ac:dyDescent="0.3">
      <c r="B15" s="6"/>
      <c r="C15" s="6"/>
      <c r="D15" s="6"/>
      <c r="E15" s="6"/>
      <c r="F15" s="6"/>
      <c r="G15" s="8"/>
      <c r="H15" s="6"/>
    </row>
    <row r="16" spans="1:8" ht="15" customHeight="1" x14ac:dyDescent="0.3">
      <c r="B16" s="6"/>
      <c r="C16" s="6"/>
      <c r="D16" s="6"/>
      <c r="E16" s="6"/>
      <c r="F16" s="6"/>
      <c r="G16" s="8"/>
      <c r="H16" s="6"/>
    </row>
    <row r="17" spans="2:8" ht="15" customHeight="1" x14ac:dyDescent="0.3">
      <c r="B17" s="6"/>
      <c r="C17" s="6"/>
      <c r="D17" s="6"/>
      <c r="E17" s="6"/>
      <c r="F17" s="6"/>
      <c r="G17" s="8"/>
      <c r="H17" s="6"/>
    </row>
    <row r="18" spans="2:8" ht="15" customHeight="1" x14ac:dyDescent="0.3">
      <c r="B18" s="6"/>
      <c r="C18" s="6"/>
      <c r="D18" s="6"/>
      <c r="E18" s="6"/>
      <c r="F18" s="6"/>
      <c r="G18" s="8"/>
      <c r="H18" s="6"/>
    </row>
    <row r="19" spans="2:8" ht="15" customHeight="1" x14ac:dyDescent="0.3">
      <c r="B19" s="6"/>
      <c r="C19" s="6"/>
      <c r="D19" s="6"/>
      <c r="E19" s="6"/>
      <c r="F19" s="6"/>
      <c r="G19" s="8"/>
      <c r="H19" s="6"/>
    </row>
    <row r="20" spans="2:8" ht="15" customHeight="1" x14ac:dyDescent="0.3">
      <c r="B20" s="6"/>
      <c r="C20" s="6"/>
      <c r="D20" s="6"/>
      <c r="E20" s="6"/>
      <c r="F20" s="6"/>
      <c r="G20" s="8"/>
      <c r="H20" s="6"/>
    </row>
    <row r="21" spans="2:8" ht="15" customHeight="1" x14ac:dyDescent="0.3">
      <c r="B21" s="6"/>
      <c r="C21" s="6"/>
      <c r="D21" s="6"/>
      <c r="E21" s="6"/>
      <c r="F21" s="6"/>
      <c r="G21" s="8"/>
      <c r="H21" s="6"/>
    </row>
    <row r="22" spans="2:8" ht="15" customHeight="1" x14ac:dyDescent="0.3">
      <c r="B22" s="6"/>
      <c r="C22" s="6"/>
      <c r="D22" s="6"/>
      <c r="E22" s="6"/>
      <c r="F22" s="6"/>
      <c r="G22" s="8"/>
      <c r="H22" s="6"/>
    </row>
    <row r="23" spans="2:8" ht="15" customHeight="1" x14ac:dyDescent="0.3">
      <c r="B23" s="6"/>
      <c r="C23" s="6"/>
      <c r="D23" s="6"/>
      <c r="E23" s="6"/>
      <c r="F23" s="6"/>
      <c r="G23" s="8"/>
      <c r="H23" s="6"/>
    </row>
    <row r="24" spans="2:8" ht="15" customHeight="1" x14ac:dyDescent="0.3">
      <c r="B24" s="6"/>
      <c r="C24" s="6"/>
      <c r="D24" s="6"/>
      <c r="E24" s="6"/>
      <c r="F24" s="6"/>
      <c r="G24" s="8"/>
      <c r="H24" s="6"/>
    </row>
    <row r="25" spans="2:8" ht="15" customHeight="1" x14ac:dyDescent="0.3">
      <c r="B25" s="6"/>
      <c r="C25" s="6"/>
      <c r="D25" s="6"/>
      <c r="E25" s="6"/>
      <c r="F25" s="6"/>
      <c r="G25" s="8"/>
      <c r="H25" s="6"/>
    </row>
    <row r="26" spans="2:8" ht="15" customHeight="1" x14ac:dyDescent="0.3">
      <c r="B26" s="6"/>
      <c r="C26" s="6"/>
      <c r="D26" s="6"/>
      <c r="E26" s="6"/>
      <c r="F26" s="6"/>
      <c r="G26" s="8"/>
      <c r="H26" s="6"/>
    </row>
    <row r="28" spans="2:8" ht="15" customHeight="1" x14ac:dyDescent="0.3">
      <c r="B28" s="15" t="s">
        <v>69</v>
      </c>
      <c r="D28" s="15">
        <f>SUM(D6:D26)</f>
        <v>0</v>
      </c>
      <c r="E28" s="15">
        <f>SUM(E6:E26)</f>
        <v>7500</v>
      </c>
      <c r="F28" s="22">
        <f>IFERROR(AVERAGE(F6:F26),0)</f>
        <v>1100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="38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20" customWidth="1"/>
    <col min="2" max="2" width="40" customWidth="1"/>
    <col min="3" max="3" width="30" customWidth="1"/>
    <col min="4" max="4" width="19" customWidth="1"/>
    <col min="5" max="5" width="26" customWidth="1"/>
    <col min="6" max="6" width="28" customWidth="1"/>
    <col min="7" max="7" width="35" customWidth="1"/>
    <col min="8" max="8" width="24" customWidth="1"/>
    <col min="9" max="9" width="22" customWidth="1"/>
  </cols>
  <sheetData>
    <row r="2" spans="1:9" ht="25.5" customHeight="1" x14ac:dyDescent="0.3">
      <c r="A2" s="25" t="s">
        <v>98</v>
      </c>
      <c r="B2" s="24"/>
      <c r="C2" s="24"/>
      <c r="D2" s="24"/>
      <c r="E2" s="24"/>
      <c r="F2" s="24"/>
      <c r="G2" s="24"/>
      <c r="H2" s="24"/>
    </row>
    <row r="3" spans="1:9" ht="15" customHeight="1" x14ac:dyDescent="0.3">
      <c r="B3" s="27" t="s">
        <v>99</v>
      </c>
      <c r="C3" s="24"/>
      <c r="D3" s="24"/>
      <c r="E3" s="24"/>
      <c r="F3" s="24"/>
      <c r="G3" s="24"/>
      <c r="H3" s="24"/>
      <c r="I3" s="24"/>
    </row>
    <row r="5" spans="1:9" ht="31.5" customHeight="1" x14ac:dyDescent="0.3">
      <c r="B5" s="1" t="s">
        <v>100</v>
      </c>
      <c r="C5" s="1" t="s">
        <v>101</v>
      </c>
      <c r="D5" s="1" t="s">
        <v>102</v>
      </c>
      <c r="E5" s="1" t="s">
        <v>103</v>
      </c>
      <c r="F5" s="1" t="s">
        <v>104</v>
      </c>
      <c r="G5" s="1" t="s">
        <v>105</v>
      </c>
      <c r="H5" s="1" t="s">
        <v>106</v>
      </c>
      <c r="I5" s="1" t="s">
        <v>77</v>
      </c>
    </row>
    <row r="6" spans="1:9" ht="15" customHeight="1" x14ac:dyDescent="0.3">
      <c r="B6" s="5" t="s">
        <v>107</v>
      </c>
      <c r="C6" s="5" t="s">
        <v>108</v>
      </c>
      <c r="D6" s="5" t="s">
        <v>109</v>
      </c>
      <c r="E6" s="5" t="s">
        <v>110</v>
      </c>
      <c r="F6" s="5" t="s">
        <v>110</v>
      </c>
      <c r="G6" s="5" t="s">
        <v>111</v>
      </c>
      <c r="H6" s="5" t="s">
        <v>112</v>
      </c>
      <c r="I6" s="5" t="s">
        <v>113</v>
      </c>
    </row>
    <row r="7" spans="1:9" ht="15" customHeight="1" x14ac:dyDescent="0.3">
      <c r="B7" s="6" t="s">
        <v>114</v>
      </c>
      <c r="C7" s="6" t="s">
        <v>115</v>
      </c>
      <c r="D7" s="6" t="s">
        <v>116</v>
      </c>
      <c r="E7" s="6" t="s">
        <v>110</v>
      </c>
      <c r="F7" s="6" t="s">
        <v>110</v>
      </c>
      <c r="G7" s="6" t="s">
        <v>110</v>
      </c>
      <c r="H7" s="6" t="s">
        <v>111</v>
      </c>
      <c r="I7" s="6" t="s">
        <v>117</v>
      </c>
    </row>
    <row r="8" spans="1:9" ht="15" customHeight="1" x14ac:dyDescent="0.3">
      <c r="B8" s="6" t="s">
        <v>118</v>
      </c>
      <c r="C8" s="6" t="s">
        <v>119</v>
      </c>
      <c r="D8" s="6" t="s">
        <v>109</v>
      </c>
      <c r="E8" s="6" t="s">
        <v>110</v>
      </c>
      <c r="F8" s="6" t="s">
        <v>111</v>
      </c>
      <c r="G8" s="6" t="s">
        <v>111</v>
      </c>
      <c r="H8" s="6" t="s">
        <v>112</v>
      </c>
      <c r="I8" s="6" t="s">
        <v>120</v>
      </c>
    </row>
    <row r="9" spans="1:9" ht="15" customHeight="1" x14ac:dyDescent="0.3">
      <c r="B9" s="6" t="s">
        <v>121</v>
      </c>
      <c r="C9" s="6" t="s">
        <v>122</v>
      </c>
      <c r="D9" s="6" t="s">
        <v>109</v>
      </c>
      <c r="E9" s="6" t="s">
        <v>110</v>
      </c>
      <c r="F9" s="6" t="s">
        <v>110</v>
      </c>
      <c r="G9" s="6" t="s">
        <v>111</v>
      </c>
      <c r="H9" s="6" t="s">
        <v>112</v>
      </c>
      <c r="I9" s="6" t="s">
        <v>113</v>
      </c>
    </row>
    <row r="10" spans="1:9" ht="15" customHeight="1" x14ac:dyDescent="0.3">
      <c r="B10" s="6"/>
      <c r="C10" s="6"/>
      <c r="D10" s="6"/>
      <c r="E10" s="6"/>
      <c r="F10" s="6"/>
      <c r="G10" s="6"/>
      <c r="H10" s="6"/>
      <c r="I10" s="6"/>
    </row>
    <row r="11" spans="1:9" ht="15" customHeight="1" x14ac:dyDescent="0.3">
      <c r="B11" s="6"/>
      <c r="C11" s="6"/>
      <c r="D11" s="6"/>
      <c r="E11" s="6"/>
      <c r="F11" s="6"/>
      <c r="G11" s="6"/>
      <c r="H11" s="6"/>
      <c r="I11" s="6"/>
    </row>
    <row r="12" spans="1:9" ht="15" customHeight="1" x14ac:dyDescent="0.3">
      <c r="B12" s="6"/>
      <c r="C12" s="6"/>
      <c r="D12" s="6"/>
      <c r="E12" s="6"/>
      <c r="F12" s="6"/>
      <c r="G12" s="6"/>
      <c r="H12" s="6"/>
      <c r="I12" s="6"/>
    </row>
    <row r="13" spans="1:9" ht="15" customHeight="1" x14ac:dyDescent="0.3">
      <c r="B13" s="6"/>
      <c r="C13" s="6"/>
      <c r="D13" s="6"/>
      <c r="E13" s="6"/>
      <c r="F13" s="6"/>
      <c r="G13" s="6"/>
      <c r="H13" s="6"/>
      <c r="I13" s="6"/>
    </row>
    <row r="14" spans="1:9" ht="15" customHeight="1" x14ac:dyDescent="0.3">
      <c r="B14" s="6"/>
      <c r="C14" s="6"/>
      <c r="D14" s="6"/>
      <c r="E14" s="6"/>
      <c r="F14" s="6"/>
      <c r="G14" s="6"/>
      <c r="H14" s="6"/>
      <c r="I14" s="6"/>
    </row>
    <row r="15" spans="1:9" ht="15" customHeight="1" x14ac:dyDescent="0.3">
      <c r="B15" s="6"/>
      <c r="C15" s="6"/>
      <c r="D15" s="6"/>
      <c r="E15" s="6"/>
      <c r="F15" s="6"/>
      <c r="G15" s="6"/>
      <c r="H15" s="6"/>
      <c r="I15" s="6"/>
    </row>
    <row r="16" spans="1:9" ht="15" customHeight="1" x14ac:dyDescent="0.3">
      <c r="B16" s="6"/>
      <c r="C16" s="6"/>
      <c r="D16" s="6"/>
      <c r="E16" s="6"/>
      <c r="F16" s="6"/>
      <c r="G16" s="6"/>
      <c r="H16" s="6"/>
      <c r="I16" s="6"/>
    </row>
    <row r="17" spans="2:9" ht="15" customHeight="1" x14ac:dyDescent="0.3">
      <c r="B17" s="6"/>
      <c r="C17" s="6"/>
      <c r="D17" s="6"/>
      <c r="E17" s="6"/>
      <c r="F17" s="6"/>
      <c r="G17" s="6"/>
      <c r="H17" s="6"/>
      <c r="I17" s="6"/>
    </row>
    <row r="18" spans="2:9" ht="15" customHeight="1" x14ac:dyDescent="0.3">
      <c r="B18" s="6"/>
      <c r="C18" s="6"/>
      <c r="D18" s="6"/>
      <c r="E18" s="6"/>
      <c r="F18" s="6"/>
      <c r="G18" s="6"/>
      <c r="H18" s="6"/>
      <c r="I18" s="6"/>
    </row>
    <row r="19" spans="2:9" ht="15" customHeight="1" x14ac:dyDescent="0.3">
      <c r="B19" s="6"/>
      <c r="C19" s="6"/>
      <c r="D19" s="6"/>
      <c r="E19" s="6"/>
      <c r="F19" s="6"/>
      <c r="G19" s="6"/>
      <c r="H19" s="6"/>
      <c r="I19" s="6"/>
    </row>
    <row r="20" spans="2:9" ht="15" customHeight="1" x14ac:dyDescent="0.3">
      <c r="B20" s="6"/>
      <c r="C20" s="6"/>
      <c r="D20" s="6"/>
      <c r="E20" s="6"/>
      <c r="F20" s="6"/>
      <c r="G20" s="6"/>
      <c r="H20" s="6"/>
      <c r="I20" s="6"/>
    </row>
    <row r="21" spans="2:9" ht="15" customHeight="1" x14ac:dyDescent="0.3">
      <c r="B21" s="6"/>
      <c r="C21" s="6"/>
      <c r="D21" s="6"/>
      <c r="E21" s="6"/>
      <c r="F21" s="6"/>
      <c r="G21" s="6"/>
      <c r="H21" s="6"/>
      <c r="I21" s="6"/>
    </row>
    <row r="22" spans="2:9" ht="15" customHeight="1" x14ac:dyDescent="0.3">
      <c r="B22" s="6"/>
      <c r="C22" s="6"/>
      <c r="D22" s="6"/>
      <c r="E22" s="6"/>
      <c r="F22" s="6"/>
      <c r="G22" s="6"/>
      <c r="H22" s="6"/>
      <c r="I22" s="6"/>
    </row>
    <row r="23" spans="2:9" ht="15" customHeight="1" x14ac:dyDescent="0.3">
      <c r="B23" s="6"/>
      <c r="C23" s="6"/>
      <c r="D23" s="6"/>
      <c r="E23" s="6"/>
      <c r="F23" s="6"/>
      <c r="G23" s="6"/>
      <c r="H23" s="6"/>
      <c r="I23" s="6"/>
    </row>
    <row r="24" spans="2:9" ht="15" customHeight="1" x14ac:dyDescent="0.3">
      <c r="B24" s="6"/>
      <c r="C24" s="6"/>
      <c r="D24" s="6"/>
      <c r="E24" s="6"/>
      <c r="F24" s="6"/>
      <c r="G24" s="6"/>
      <c r="H24" s="6"/>
      <c r="I24" s="6"/>
    </row>
    <row r="25" spans="2:9" ht="15" customHeight="1" x14ac:dyDescent="0.3">
      <c r="B25" s="6"/>
      <c r="C25" s="6"/>
      <c r="D25" s="6"/>
      <c r="E25" s="6"/>
      <c r="F25" s="6"/>
      <c r="G25" s="6"/>
      <c r="H25" s="6"/>
      <c r="I25" s="6"/>
    </row>
    <row r="26" spans="2:9" ht="15" customHeight="1" x14ac:dyDescent="0.3">
      <c r="B26" s="6"/>
      <c r="C26" s="6"/>
      <c r="D26" s="6"/>
      <c r="E26" s="6"/>
      <c r="F26" s="6"/>
      <c r="G26" s="6"/>
      <c r="H26" s="6"/>
      <c r="I26" s="6"/>
    </row>
    <row r="28" spans="2:9" ht="15" customHeight="1" x14ac:dyDescent="0.3">
      <c r="B28" s="15" t="s">
        <v>109</v>
      </c>
      <c r="C28" s="15">
        <f>COUNTIF(D6:D26,"Compliant")</f>
        <v>3</v>
      </c>
    </row>
    <row r="29" spans="2:9" ht="15" customHeight="1" x14ac:dyDescent="0.3">
      <c r="B29" s="15" t="s">
        <v>123</v>
      </c>
      <c r="C29" s="15">
        <f>COUNTA(B6:B26)</f>
        <v>4</v>
      </c>
    </row>
    <row r="30" spans="2:9" ht="15" customHeight="1" x14ac:dyDescent="0.3">
      <c r="B30" s="15" t="s">
        <v>124</v>
      </c>
      <c r="C30" s="15">
        <f>COUNTIF(E6:E26,"Yes")</f>
        <v>4</v>
      </c>
    </row>
    <row r="31" spans="2:9" ht="15" customHeight="1" x14ac:dyDescent="0.3">
      <c r="B31" s="15" t="s">
        <v>125</v>
      </c>
      <c r="C31" s="15">
        <f>COUNTIF(F6:F26,"Yes")</f>
        <v>3</v>
      </c>
    </row>
    <row r="32" spans="2:9" ht="15" customHeight="1" x14ac:dyDescent="0.3">
      <c r="B32" s="15" t="s">
        <v>126</v>
      </c>
      <c r="C32" s="15">
        <f>COUNTIF(G6:G26,"Yes")</f>
        <v>1</v>
      </c>
    </row>
    <row r="33" spans="2:3" ht="15" customHeight="1" x14ac:dyDescent="0.3">
      <c r="B33" s="15" t="s">
        <v>127</v>
      </c>
      <c r="C33" s="15">
        <f>COUNTIF(H6:H26,"Yes")</f>
        <v>0</v>
      </c>
    </row>
  </sheetData>
  <mergeCells count="2">
    <mergeCell ref="B3:I3"/>
    <mergeCell ref="A2:H2"/>
  </mergeCells>
  <dataValidations count="2">
    <dataValidation type="list" sqref="D7:D26" xr:uid="{00000000-0002-0000-0500-000000000000}">
      <formula1>"Compliant,Non-compliant,Under Review"</formula1>
      <formula2>0</formula2>
    </dataValidation>
    <dataValidation type="list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1"/>
  <sheetViews>
    <sheetView showGridLines="0" zoomScale="25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26" customWidth="1"/>
    <col min="2" max="3" width="40" customWidth="1"/>
    <col min="4" max="4" width="22" customWidth="1"/>
    <col min="5" max="5" width="28" customWidth="1"/>
    <col min="6" max="6" width="30" customWidth="1"/>
    <col min="7" max="7" width="28" customWidth="1"/>
    <col min="8" max="8" width="22" customWidth="1"/>
  </cols>
  <sheetData>
    <row r="2" spans="1:8" ht="25.5" customHeight="1" x14ac:dyDescent="0.3">
      <c r="A2" s="25" t="s">
        <v>128</v>
      </c>
      <c r="B2" s="24"/>
      <c r="C2" s="24"/>
      <c r="D2" s="24"/>
      <c r="E2" s="24"/>
      <c r="F2" s="24"/>
      <c r="G2" s="24"/>
    </row>
    <row r="3" spans="1:8" ht="15" customHeight="1" x14ac:dyDescent="0.3">
      <c r="B3" s="27" t="s">
        <v>129</v>
      </c>
      <c r="C3" s="24"/>
      <c r="D3" s="24"/>
      <c r="E3" s="24"/>
      <c r="F3" s="24"/>
      <c r="G3" s="24"/>
      <c r="H3" s="24"/>
    </row>
    <row r="5" spans="1:8" ht="31.5" customHeight="1" x14ac:dyDescent="0.3">
      <c r="B5" s="1" t="s">
        <v>130</v>
      </c>
      <c r="C5" s="1" t="s">
        <v>46</v>
      </c>
      <c r="D5" s="1" t="s">
        <v>131</v>
      </c>
      <c r="E5" s="1" t="s">
        <v>132</v>
      </c>
      <c r="F5" s="1" t="s">
        <v>133</v>
      </c>
      <c r="G5" s="1" t="s">
        <v>134</v>
      </c>
      <c r="H5" s="1" t="s">
        <v>77</v>
      </c>
    </row>
    <row r="6" spans="1:8" ht="35.1" customHeight="1" x14ac:dyDescent="0.3">
      <c r="B6" s="5" t="s">
        <v>135</v>
      </c>
      <c r="C6" s="5" t="s">
        <v>60</v>
      </c>
      <c r="D6" s="5" t="s">
        <v>136</v>
      </c>
      <c r="E6" s="18">
        <v>120</v>
      </c>
      <c r="F6" s="18">
        <v>45</v>
      </c>
      <c r="G6" s="5" t="s">
        <v>137</v>
      </c>
      <c r="H6" s="5" t="s">
        <v>138</v>
      </c>
    </row>
    <row r="7" spans="1:8" ht="15" customHeight="1" x14ac:dyDescent="0.3">
      <c r="B7" s="6" t="s">
        <v>139</v>
      </c>
      <c r="C7" s="6" t="s">
        <v>59</v>
      </c>
      <c r="D7" s="6" t="s">
        <v>140</v>
      </c>
      <c r="E7" s="19">
        <v>40</v>
      </c>
      <c r="F7" s="19">
        <v>10</v>
      </c>
      <c r="G7" s="6" t="s">
        <v>141</v>
      </c>
      <c r="H7" s="6" t="s">
        <v>142</v>
      </c>
    </row>
    <row r="8" spans="1:8" ht="15" customHeight="1" x14ac:dyDescent="0.3">
      <c r="B8" s="6" t="s">
        <v>143</v>
      </c>
      <c r="C8" s="6" t="s">
        <v>61</v>
      </c>
      <c r="D8" s="6" t="s">
        <v>136</v>
      </c>
      <c r="E8" s="19">
        <v>60</v>
      </c>
      <c r="F8" s="19">
        <v>25</v>
      </c>
      <c r="G8" s="6" t="s">
        <v>144</v>
      </c>
      <c r="H8" s="6" t="s">
        <v>138</v>
      </c>
    </row>
    <row r="9" spans="1:8" ht="15" customHeight="1" x14ac:dyDescent="0.3">
      <c r="B9" s="6"/>
      <c r="C9" s="6"/>
      <c r="D9" s="6"/>
      <c r="E9" s="6"/>
      <c r="F9" s="6"/>
      <c r="G9" s="6"/>
      <c r="H9" s="6"/>
    </row>
    <row r="10" spans="1:8" ht="15" customHeight="1" x14ac:dyDescent="0.3">
      <c r="B10" s="6"/>
      <c r="C10" s="6"/>
      <c r="D10" s="6"/>
      <c r="E10" s="6"/>
      <c r="F10" s="6"/>
      <c r="G10" s="6"/>
      <c r="H10" s="6"/>
    </row>
    <row r="11" spans="1:8" ht="15" customHeight="1" x14ac:dyDescent="0.3">
      <c r="B11" s="6"/>
      <c r="C11" s="6"/>
      <c r="D11" s="6"/>
      <c r="E11" s="6"/>
      <c r="F11" s="6"/>
      <c r="G11" s="6"/>
      <c r="H11" s="6"/>
    </row>
    <row r="12" spans="1:8" ht="15" customHeight="1" x14ac:dyDescent="0.3">
      <c r="B12" s="6"/>
      <c r="C12" s="6"/>
      <c r="D12" s="6"/>
      <c r="E12" s="6"/>
      <c r="F12" s="6"/>
      <c r="G12" s="6"/>
      <c r="H12" s="6"/>
    </row>
    <row r="13" spans="1:8" ht="15" customHeight="1" x14ac:dyDescent="0.3">
      <c r="B13" s="6"/>
      <c r="C13" s="6"/>
      <c r="D13" s="6"/>
      <c r="E13" s="6"/>
      <c r="F13" s="6"/>
      <c r="G13" s="6"/>
      <c r="H13" s="6"/>
    </row>
    <row r="14" spans="1:8" ht="15" customHeight="1" x14ac:dyDescent="0.3">
      <c r="B14" s="6"/>
      <c r="C14" s="6"/>
      <c r="D14" s="6"/>
      <c r="E14" s="6"/>
      <c r="F14" s="6"/>
      <c r="G14" s="6"/>
      <c r="H14" s="6"/>
    </row>
    <row r="15" spans="1:8" ht="15" customHeight="1" x14ac:dyDescent="0.3">
      <c r="B15" s="6"/>
      <c r="C15" s="6"/>
      <c r="D15" s="6"/>
      <c r="E15" s="6"/>
      <c r="F15" s="6"/>
      <c r="G15" s="6"/>
      <c r="H15" s="6"/>
    </row>
    <row r="16" spans="1:8" ht="15" customHeight="1" x14ac:dyDescent="0.3">
      <c r="B16" s="6"/>
      <c r="C16" s="6"/>
      <c r="D16" s="6"/>
      <c r="E16" s="6"/>
      <c r="F16" s="6"/>
      <c r="G16" s="6"/>
      <c r="H16" s="6"/>
    </row>
    <row r="17" spans="2:8" ht="15" customHeight="1" x14ac:dyDescent="0.3">
      <c r="B17" s="6"/>
      <c r="C17" s="6"/>
      <c r="D17" s="6"/>
      <c r="E17" s="6"/>
      <c r="F17" s="6"/>
      <c r="G17" s="6"/>
      <c r="H17" s="6"/>
    </row>
    <row r="18" spans="2:8" ht="15" customHeight="1" x14ac:dyDescent="0.3">
      <c r="B18" s="6"/>
      <c r="C18" s="6"/>
      <c r="D18" s="6"/>
      <c r="E18" s="6"/>
      <c r="F18" s="6"/>
      <c r="G18" s="6"/>
      <c r="H18" s="6"/>
    </row>
    <row r="19" spans="2:8" ht="15" customHeight="1" x14ac:dyDescent="0.3">
      <c r="B19" s="6"/>
      <c r="C19" s="6"/>
      <c r="D19" s="6"/>
      <c r="E19" s="6"/>
      <c r="F19" s="6"/>
      <c r="G19" s="6"/>
      <c r="H19" s="6"/>
    </row>
    <row r="20" spans="2:8" ht="15" customHeight="1" x14ac:dyDescent="0.3">
      <c r="B20" s="6"/>
      <c r="C20" s="6"/>
      <c r="D20" s="6"/>
      <c r="E20" s="6"/>
      <c r="F20" s="6"/>
      <c r="G20" s="6"/>
      <c r="H20" s="6"/>
    </row>
    <row r="21" spans="2:8" ht="15" customHeight="1" x14ac:dyDescent="0.3">
      <c r="B21" s="6"/>
      <c r="C21" s="6"/>
      <c r="D21" s="6"/>
      <c r="E21" s="6"/>
      <c r="F21" s="6"/>
      <c r="G21" s="6"/>
      <c r="H21" s="6"/>
    </row>
    <row r="22" spans="2:8" ht="15" customHeight="1" x14ac:dyDescent="0.3">
      <c r="B22" s="6"/>
      <c r="C22" s="6"/>
      <c r="D22" s="6"/>
      <c r="E22" s="6"/>
      <c r="F22" s="6"/>
      <c r="G22" s="6"/>
      <c r="H22" s="6"/>
    </row>
    <row r="23" spans="2:8" ht="15" customHeight="1" x14ac:dyDescent="0.3">
      <c r="B23" s="6"/>
      <c r="C23" s="6"/>
      <c r="D23" s="6"/>
      <c r="E23" s="6"/>
      <c r="F23" s="6"/>
      <c r="G23" s="6"/>
      <c r="H23" s="6"/>
    </row>
    <row r="24" spans="2:8" ht="15" customHeight="1" x14ac:dyDescent="0.3">
      <c r="B24" s="6"/>
      <c r="C24" s="6"/>
      <c r="D24" s="6"/>
      <c r="E24" s="6"/>
      <c r="F24" s="6"/>
      <c r="G24" s="6"/>
      <c r="H24" s="6"/>
    </row>
    <row r="25" spans="2:8" ht="15" customHeight="1" x14ac:dyDescent="0.3">
      <c r="B25" s="6"/>
      <c r="C25" s="6"/>
      <c r="D25" s="6"/>
      <c r="E25" s="6"/>
      <c r="F25" s="6"/>
      <c r="G25" s="6"/>
      <c r="H25" s="6"/>
    </row>
    <row r="26" spans="2:8" ht="15" customHeight="1" x14ac:dyDescent="0.3">
      <c r="B26" s="6"/>
      <c r="C26" s="6"/>
      <c r="D26" s="6"/>
      <c r="E26" s="6"/>
      <c r="F26" s="6"/>
      <c r="G26" s="6"/>
      <c r="H26" s="6"/>
    </row>
    <row r="28" spans="2:8" ht="15" customHeight="1" x14ac:dyDescent="0.3">
      <c r="B28" s="15" t="s">
        <v>145</v>
      </c>
      <c r="C28" s="15">
        <f>COUNTA(B6:B26)</f>
        <v>3</v>
      </c>
    </row>
    <row r="29" spans="2:8" ht="15" customHeight="1" x14ac:dyDescent="0.3">
      <c r="B29" s="15" t="s">
        <v>146</v>
      </c>
      <c r="C29" s="15">
        <f>COUNTIF(D6:D26,"Formalized")+COUNTIF(D6:D26,"Remediated")</f>
        <v>0</v>
      </c>
    </row>
    <row r="30" spans="2:8" ht="15" customHeight="1" x14ac:dyDescent="0.3">
      <c r="B30" s="15" t="s">
        <v>147</v>
      </c>
      <c r="C30" s="15">
        <f>SUM(E6:E26)</f>
        <v>220</v>
      </c>
    </row>
    <row r="31" spans="2:8" ht="15" customHeight="1" x14ac:dyDescent="0.3">
      <c r="B31" s="15" t="s">
        <v>148</v>
      </c>
      <c r="C31" s="15">
        <f>SUM(F6:F26)</f>
        <v>80</v>
      </c>
    </row>
  </sheetData>
  <mergeCells count="2">
    <mergeCell ref="B3:H3"/>
    <mergeCell ref="A2:G2"/>
  </mergeCells>
  <dataValidations count="1">
    <dataValidation type="list" sqref="D7:D26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="46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ColWidth="8.6640625" defaultRowHeight="14.4" x14ac:dyDescent="0.3"/>
  <cols>
    <col min="1" max="1" width="23" customWidth="1"/>
    <col min="2" max="3" width="40" customWidth="1"/>
    <col min="4" max="4" width="17" customWidth="1"/>
    <col min="5" max="5" width="12" customWidth="1"/>
    <col min="6" max="6" width="15" customWidth="1"/>
    <col min="7" max="7" width="29" customWidth="1"/>
    <col min="8" max="8" width="24" customWidth="1"/>
    <col min="9" max="9" width="26" customWidth="1"/>
  </cols>
  <sheetData>
    <row r="2" spans="1:9" ht="25.5" customHeight="1" x14ac:dyDescent="0.3">
      <c r="A2" s="25" t="s">
        <v>149</v>
      </c>
      <c r="B2" s="24"/>
      <c r="C2" s="24"/>
      <c r="D2" s="24"/>
      <c r="E2" s="24"/>
      <c r="F2" s="24"/>
      <c r="G2" s="24"/>
      <c r="H2" s="24"/>
    </row>
    <row r="3" spans="1:9" ht="15" customHeight="1" x14ac:dyDescent="0.3">
      <c r="B3" s="27" t="s">
        <v>150</v>
      </c>
      <c r="C3" s="24"/>
      <c r="D3" s="24"/>
      <c r="E3" s="24"/>
      <c r="F3" s="24"/>
      <c r="G3" s="24"/>
      <c r="H3" s="24"/>
      <c r="I3" s="24"/>
    </row>
    <row r="5" spans="1:9" ht="31.5" customHeight="1" x14ac:dyDescent="0.3">
      <c r="B5" s="1" t="s">
        <v>151</v>
      </c>
      <c r="C5" s="1" t="s">
        <v>46</v>
      </c>
      <c r="D5" s="1" t="s">
        <v>152</v>
      </c>
      <c r="E5" s="1" t="s">
        <v>153</v>
      </c>
      <c r="F5" s="1" t="s">
        <v>154</v>
      </c>
      <c r="G5" s="1" t="s">
        <v>155</v>
      </c>
      <c r="H5" s="1" t="s">
        <v>156</v>
      </c>
      <c r="I5" s="1" t="s">
        <v>77</v>
      </c>
    </row>
    <row r="6" spans="1:9" ht="23.85" customHeight="1" x14ac:dyDescent="0.3">
      <c r="B6" s="5" t="s">
        <v>135</v>
      </c>
      <c r="C6" s="5" t="s">
        <v>60</v>
      </c>
      <c r="D6" s="5" t="s">
        <v>157</v>
      </c>
      <c r="E6" s="5" t="s">
        <v>158</v>
      </c>
      <c r="F6" s="5" t="s">
        <v>159</v>
      </c>
      <c r="G6" s="5" t="s">
        <v>110</v>
      </c>
      <c r="H6" s="18">
        <v>100</v>
      </c>
      <c r="I6" s="5" t="s">
        <v>160</v>
      </c>
    </row>
    <row r="7" spans="1:9" ht="15" customHeight="1" x14ac:dyDescent="0.3">
      <c r="B7" s="6" t="s">
        <v>139</v>
      </c>
      <c r="C7" s="6" t="s">
        <v>59</v>
      </c>
      <c r="D7" s="6" t="s">
        <v>161</v>
      </c>
      <c r="E7" s="6" t="s">
        <v>162</v>
      </c>
      <c r="F7" s="6" t="s">
        <v>163</v>
      </c>
      <c r="G7" s="6" t="s">
        <v>111</v>
      </c>
      <c r="H7" s="19">
        <v>0</v>
      </c>
      <c r="I7" s="6" t="s">
        <v>164</v>
      </c>
    </row>
    <row r="8" spans="1:9" ht="15" customHeight="1" x14ac:dyDescent="0.3">
      <c r="B8" s="6"/>
      <c r="C8" s="6"/>
      <c r="D8" s="6"/>
      <c r="E8" s="6"/>
      <c r="F8" s="6"/>
      <c r="G8" s="6"/>
      <c r="H8" s="6"/>
      <c r="I8" s="6"/>
    </row>
    <row r="9" spans="1:9" ht="15" customHeight="1" x14ac:dyDescent="0.3">
      <c r="B9" s="6"/>
      <c r="C9" s="6"/>
      <c r="D9" s="6"/>
      <c r="E9" s="6"/>
      <c r="F9" s="6"/>
      <c r="G9" s="6"/>
      <c r="H9" s="6"/>
      <c r="I9" s="6"/>
    </row>
    <row r="10" spans="1:9" ht="15" customHeight="1" x14ac:dyDescent="0.3">
      <c r="B10" s="6"/>
      <c r="C10" s="6"/>
      <c r="D10" s="6"/>
      <c r="E10" s="6"/>
      <c r="F10" s="6"/>
      <c r="G10" s="6"/>
      <c r="H10" s="6"/>
      <c r="I10" s="6"/>
    </row>
    <row r="11" spans="1:9" ht="15" customHeight="1" x14ac:dyDescent="0.3">
      <c r="B11" s="6"/>
      <c r="C11" s="6"/>
      <c r="D11" s="6"/>
      <c r="E11" s="6"/>
      <c r="F11" s="6"/>
      <c r="G11" s="6"/>
      <c r="H11" s="6"/>
      <c r="I11" s="6"/>
    </row>
    <row r="12" spans="1:9" ht="15" customHeight="1" x14ac:dyDescent="0.3">
      <c r="B12" s="6"/>
      <c r="C12" s="6"/>
      <c r="D12" s="6"/>
      <c r="E12" s="6"/>
      <c r="F12" s="6"/>
      <c r="G12" s="6"/>
      <c r="H12" s="6"/>
      <c r="I12" s="6"/>
    </row>
    <row r="13" spans="1:9" ht="15" customHeight="1" x14ac:dyDescent="0.3">
      <c r="B13" s="6"/>
      <c r="C13" s="6"/>
      <c r="D13" s="6"/>
      <c r="E13" s="6"/>
      <c r="F13" s="6"/>
      <c r="G13" s="6"/>
      <c r="H13" s="6"/>
      <c r="I13" s="6"/>
    </row>
    <row r="14" spans="1:9" ht="15" customHeight="1" x14ac:dyDescent="0.3">
      <c r="B14" s="6"/>
      <c r="C14" s="6"/>
      <c r="D14" s="6"/>
      <c r="E14" s="6"/>
      <c r="F14" s="6"/>
      <c r="G14" s="6"/>
      <c r="H14" s="6"/>
      <c r="I14" s="6"/>
    </row>
    <row r="15" spans="1:9" ht="15" customHeight="1" x14ac:dyDescent="0.3">
      <c r="B15" s="6"/>
      <c r="C15" s="6"/>
      <c r="D15" s="6"/>
      <c r="E15" s="6"/>
      <c r="F15" s="6"/>
      <c r="G15" s="6"/>
      <c r="H15" s="6"/>
      <c r="I15" s="6"/>
    </row>
    <row r="16" spans="1:9" ht="15" customHeight="1" x14ac:dyDescent="0.3">
      <c r="B16" s="6"/>
      <c r="C16" s="6"/>
      <c r="D16" s="6"/>
      <c r="E16" s="6"/>
      <c r="F16" s="6"/>
      <c r="G16" s="6"/>
      <c r="H16" s="6"/>
      <c r="I16" s="6"/>
    </row>
    <row r="17" spans="2:9" ht="15" customHeight="1" x14ac:dyDescent="0.3">
      <c r="B17" s="6"/>
      <c r="C17" s="6"/>
      <c r="D17" s="6"/>
      <c r="E17" s="6"/>
      <c r="F17" s="6"/>
      <c r="G17" s="6"/>
      <c r="H17" s="6"/>
      <c r="I17" s="6"/>
    </row>
    <row r="18" spans="2:9" ht="15" customHeight="1" x14ac:dyDescent="0.3">
      <c r="B18" s="6"/>
      <c r="C18" s="6"/>
      <c r="D18" s="6"/>
      <c r="E18" s="6"/>
      <c r="F18" s="6"/>
      <c r="G18" s="6"/>
      <c r="H18" s="6"/>
      <c r="I18" s="6"/>
    </row>
    <row r="19" spans="2:9" ht="15" customHeight="1" x14ac:dyDescent="0.3">
      <c r="B19" s="6"/>
      <c r="C19" s="6"/>
      <c r="D19" s="6"/>
      <c r="E19" s="6"/>
      <c r="F19" s="6"/>
      <c r="G19" s="6"/>
      <c r="H19" s="6"/>
      <c r="I19" s="6"/>
    </row>
    <row r="20" spans="2:9" ht="15" customHeight="1" x14ac:dyDescent="0.3">
      <c r="B20" s="6"/>
      <c r="C20" s="6"/>
      <c r="D20" s="6"/>
      <c r="E20" s="6"/>
      <c r="F20" s="6"/>
      <c r="G20" s="6"/>
      <c r="H20" s="6"/>
      <c r="I20" s="6"/>
    </row>
    <row r="21" spans="2:9" ht="15" customHeight="1" x14ac:dyDescent="0.3">
      <c r="B21" s="6"/>
      <c r="C21" s="6"/>
      <c r="D21" s="6"/>
      <c r="E21" s="6"/>
      <c r="F21" s="6"/>
      <c r="G21" s="6"/>
      <c r="H21" s="6"/>
      <c r="I21" s="6"/>
    </row>
    <row r="22" spans="2:9" ht="15" customHeight="1" x14ac:dyDescent="0.3">
      <c r="B22" s="6"/>
      <c r="C22" s="6"/>
      <c r="D22" s="6"/>
      <c r="E22" s="6"/>
      <c r="F22" s="6"/>
      <c r="G22" s="6"/>
      <c r="H22" s="6"/>
      <c r="I22" s="6"/>
    </row>
    <row r="23" spans="2:9" ht="15" customHeight="1" x14ac:dyDescent="0.3">
      <c r="B23" s="6"/>
      <c r="C23" s="6"/>
      <c r="D23" s="6"/>
      <c r="E23" s="6"/>
      <c r="F23" s="6"/>
      <c r="G23" s="6"/>
      <c r="H23" s="6"/>
      <c r="I23" s="6"/>
    </row>
    <row r="24" spans="2:9" ht="15" customHeight="1" x14ac:dyDescent="0.3">
      <c r="B24" s="6"/>
      <c r="C24" s="6"/>
      <c r="D24" s="6"/>
      <c r="E24" s="6"/>
      <c r="F24" s="6"/>
      <c r="G24" s="6"/>
      <c r="H24" s="6"/>
      <c r="I24" s="6"/>
    </row>
    <row r="25" spans="2:9" ht="15" customHeight="1" x14ac:dyDescent="0.3">
      <c r="B25" s="6"/>
      <c r="C25" s="6"/>
      <c r="D25" s="6"/>
      <c r="E25" s="6"/>
      <c r="F25" s="6"/>
      <c r="G25" s="6"/>
      <c r="H25" s="6"/>
      <c r="I25" s="6"/>
    </row>
    <row r="26" spans="2:9" ht="15" customHeight="1" x14ac:dyDescent="0.3">
      <c r="B26" s="6"/>
      <c r="C26" s="6"/>
      <c r="D26" s="6"/>
      <c r="E26" s="6"/>
      <c r="F26" s="6"/>
      <c r="G26" s="6"/>
      <c r="H26" s="6"/>
      <c r="I26" s="6"/>
    </row>
    <row r="28" spans="2:9" ht="15" customHeight="1" x14ac:dyDescent="0.3">
      <c r="B28" s="15" t="s">
        <v>165</v>
      </c>
      <c r="C28" s="15">
        <f>SUMPRODUCT((B6:B26&lt;&gt;"")/COUNTIF(B6:B26,B6:B26&amp;""))</f>
        <v>2</v>
      </c>
    </row>
    <row r="29" spans="2:9" ht="15" customHeight="1" x14ac:dyDescent="0.3">
      <c r="B29" s="15" t="s">
        <v>166</v>
      </c>
      <c r="C29" s="15">
        <f>COUNTIF(F6:F26,"Yes")</f>
        <v>0</v>
      </c>
    </row>
    <row r="30" spans="2:9" ht="15" customHeight="1" x14ac:dyDescent="0.3">
      <c r="B30" s="15" t="s">
        <v>167</v>
      </c>
      <c r="C30" s="15">
        <f>SUM(G6:G26)</f>
        <v>0</v>
      </c>
    </row>
  </sheetData>
  <mergeCells count="2">
    <mergeCell ref="B3:I3"/>
    <mergeCell ref="A2:H2"/>
  </mergeCells>
  <dataValidations count="3">
    <dataValidation type="list" sqref="D7:D26" xr:uid="{00000000-0002-0000-0700-000000000000}">
      <formula1>"Soil,Water,Air,Soil + Water,Soil + Water + Air"</formula1>
      <formula2>0</formula2>
    </dataValidation>
    <dataValidation type="list" sqref="E7:E26" xr:uid="{00000000-0002-0000-0700-000001000000}">
      <formula1>"Within Limit,Exceeds Limit,Pending Analysis"</formula1>
      <formula2>0</formula2>
    </dataValidation>
    <dataValidation type="list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="88" zoomScaleNormal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40" sqref="F40"/>
    </sheetView>
  </sheetViews>
  <sheetFormatPr defaultColWidth="8.6640625" defaultRowHeight="14.4" x14ac:dyDescent="0.3"/>
  <cols>
    <col min="1" max="1" width="20" customWidth="1"/>
    <col min="2" max="3" width="40" customWidth="1"/>
    <col min="4" max="4" width="12" customWidth="1"/>
    <col min="5" max="5" width="13" customWidth="1"/>
    <col min="6" max="6" width="17" customWidth="1"/>
    <col min="7" max="7" width="22" customWidth="1"/>
  </cols>
  <sheetData>
    <row r="2" spans="1:7" ht="25.5" customHeight="1" x14ac:dyDescent="0.3">
      <c r="A2" s="25" t="s">
        <v>168</v>
      </c>
      <c r="B2" s="24"/>
      <c r="C2" s="24"/>
      <c r="D2" s="24"/>
      <c r="E2" s="24"/>
      <c r="F2" s="24"/>
    </row>
    <row r="3" spans="1:7" ht="15" customHeight="1" x14ac:dyDescent="0.3">
      <c r="B3" s="27" t="s">
        <v>169</v>
      </c>
      <c r="C3" s="24"/>
      <c r="D3" s="24"/>
      <c r="E3" s="24"/>
      <c r="F3" s="24"/>
      <c r="G3" s="24"/>
    </row>
    <row r="5" spans="1:7" ht="31.5" customHeight="1" x14ac:dyDescent="0.3">
      <c r="B5" s="1" t="s">
        <v>170</v>
      </c>
      <c r="C5" s="1" t="s">
        <v>46</v>
      </c>
      <c r="D5" s="1" t="s">
        <v>153</v>
      </c>
      <c r="E5" s="1" t="s">
        <v>171</v>
      </c>
      <c r="F5" s="1" t="s">
        <v>172</v>
      </c>
      <c r="G5" s="1" t="s">
        <v>173</v>
      </c>
    </row>
    <row r="6" spans="1:7" ht="15" customHeight="1" x14ac:dyDescent="0.3">
      <c r="B6" s="5" t="s">
        <v>174</v>
      </c>
      <c r="C6" s="5" t="s">
        <v>59</v>
      </c>
      <c r="D6" s="5" t="s">
        <v>175</v>
      </c>
      <c r="E6" s="5" t="s">
        <v>176</v>
      </c>
      <c r="F6" s="5" t="s">
        <v>177</v>
      </c>
      <c r="G6" s="18">
        <v>500</v>
      </c>
    </row>
    <row r="7" spans="1:7" ht="15" customHeight="1" x14ac:dyDescent="0.3">
      <c r="B7" s="6" t="s">
        <v>178</v>
      </c>
      <c r="C7" s="6" t="s">
        <v>56</v>
      </c>
      <c r="D7" s="6" t="s">
        <v>179</v>
      </c>
      <c r="E7" s="6" t="s">
        <v>180</v>
      </c>
      <c r="F7" s="6" t="s">
        <v>181</v>
      </c>
      <c r="G7" s="19">
        <v>300</v>
      </c>
    </row>
    <row r="8" spans="1:7" ht="15" customHeight="1" x14ac:dyDescent="0.3">
      <c r="B8" s="6" t="s">
        <v>182</v>
      </c>
      <c r="C8" s="6" t="s">
        <v>60</v>
      </c>
      <c r="D8" s="6" t="s">
        <v>183</v>
      </c>
      <c r="E8" s="6" t="s">
        <v>184</v>
      </c>
      <c r="F8" s="6" t="s">
        <v>185</v>
      </c>
      <c r="G8" s="19">
        <v>150</v>
      </c>
    </row>
    <row r="9" spans="1:7" ht="15" customHeight="1" x14ac:dyDescent="0.3">
      <c r="B9" s="6"/>
      <c r="C9" s="6"/>
      <c r="D9" s="6"/>
      <c r="E9" s="6"/>
      <c r="F9" s="6"/>
      <c r="G9" s="6"/>
    </row>
    <row r="10" spans="1:7" ht="15" customHeight="1" x14ac:dyDescent="0.3">
      <c r="B10" s="6"/>
      <c r="C10" s="6"/>
      <c r="D10" s="6"/>
      <c r="E10" s="6"/>
      <c r="F10" s="6"/>
      <c r="G10" s="6"/>
    </row>
    <row r="11" spans="1:7" ht="15" customHeight="1" x14ac:dyDescent="0.3">
      <c r="B11" s="6"/>
      <c r="C11" s="6"/>
      <c r="D11" s="6"/>
      <c r="E11" s="6"/>
      <c r="F11" s="6"/>
      <c r="G11" s="6"/>
    </row>
    <row r="12" spans="1:7" ht="15" customHeight="1" x14ac:dyDescent="0.3">
      <c r="B12" s="6"/>
      <c r="C12" s="6"/>
      <c r="D12" s="6"/>
      <c r="E12" s="6"/>
      <c r="F12" s="6"/>
      <c r="G12" s="6"/>
    </row>
    <row r="13" spans="1:7" ht="15" customHeight="1" x14ac:dyDescent="0.3">
      <c r="B13" s="6"/>
      <c r="C13" s="6"/>
      <c r="D13" s="6"/>
      <c r="E13" s="6"/>
      <c r="F13" s="6"/>
      <c r="G13" s="6"/>
    </row>
    <row r="14" spans="1:7" ht="15" customHeight="1" x14ac:dyDescent="0.3">
      <c r="B14" s="6"/>
      <c r="C14" s="6"/>
      <c r="D14" s="6"/>
      <c r="E14" s="6"/>
      <c r="F14" s="6"/>
      <c r="G14" s="6"/>
    </row>
    <row r="15" spans="1:7" ht="15" customHeight="1" x14ac:dyDescent="0.3">
      <c r="B15" s="6"/>
      <c r="C15" s="6"/>
      <c r="D15" s="6"/>
      <c r="E15" s="6"/>
      <c r="F15" s="6"/>
      <c r="G15" s="6"/>
    </row>
    <row r="16" spans="1:7" ht="15" customHeight="1" x14ac:dyDescent="0.3">
      <c r="B16" s="6"/>
      <c r="C16" s="6"/>
      <c r="D16" s="6"/>
      <c r="E16" s="6"/>
      <c r="F16" s="6"/>
      <c r="G16" s="6"/>
    </row>
    <row r="17" spans="2:7" ht="15" customHeight="1" x14ac:dyDescent="0.3">
      <c r="B17" s="6"/>
      <c r="C17" s="6"/>
      <c r="D17" s="6"/>
      <c r="E17" s="6"/>
      <c r="F17" s="6"/>
      <c r="G17" s="6"/>
    </row>
    <row r="18" spans="2:7" ht="15" customHeight="1" x14ac:dyDescent="0.3">
      <c r="B18" s="6"/>
      <c r="C18" s="6"/>
      <c r="D18" s="6"/>
      <c r="E18" s="6"/>
      <c r="F18" s="6"/>
      <c r="G18" s="6"/>
    </row>
    <row r="19" spans="2:7" ht="15" customHeight="1" x14ac:dyDescent="0.3">
      <c r="B19" s="6"/>
      <c r="C19" s="6"/>
      <c r="D19" s="6"/>
      <c r="E19" s="6"/>
      <c r="F19" s="6"/>
      <c r="G19" s="6"/>
    </row>
    <row r="20" spans="2:7" ht="15" customHeight="1" x14ac:dyDescent="0.3">
      <c r="B20" s="6"/>
      <c r="C20" s="6"/>
      <c r="D20" s="6"/>
      <c r="E20" s="6"/>
      <c r="F20" s="6"/>
      <c r="G20" s="6"/>
    </row>
    <row r="21" spans="2:7" ht="15" customHeight="1" x14ac:dyDescent="0.3">
      <c r="B21" s="6"/>
      <c r="C21" s="6"/>
      <c r="D21" s="6"/>
      <c r="E21" s="6"/>
      <c r="F21" s="6"/>
      <c r="G21" s="6"/>
    </row>
    <row r="22" spans="2:7" ht="15" customHeight="1" x14ac:dyDescent="0.3">
      <c r="B22" s="6"/>
      <c r="C22" s="6"/>
      <c r="D22" s="6"/>
      <c r="E22" s="6"/>
      <c r="F22" s="6"/>
      <c r="G22" s="6"/>
    </row>
    <row r="23" spans="2:7" ht="15" customHeight="1" x14ac:dyDescent="0.3">
      <c r="B23" s="6"/>
      <c r="C23" s="6"/>
      <c r="D23" s="6"/>
      <c r="E23" s="6"/>
      <c r="F23" s="6"/>
      <c r="G23" s="6"/>
    </row>
    <row r="24" spans="2:7" ht="15" customHeight="1" x14ac:dyDescent="0.3">
      <c r="B24" s="6"/>
      <c r="C24" s="6"/>
      <c r="D24" s="6"/>
      <c r="E24" s="6"/>
      <c r="F24" s="6"/>
      <c r="G24" s="6"/>
    </row>
    <row r="25" spans="2:7" ht="15" customHeight="1" x14ac:dyDescent="0.3">
      <c r="B25" s="6"/>
      <c r="C25" s="6"/>
      <c r="D25" s="6"/>
      <c r="E25" s="6"/>
      <c r="F25" s="6"/>
      <c r="G25" s="6"/>
    </row>
    <row r="26" spans="2:7" ht="15" customHeight="1" x14ac:dyDescent="0.3">
      <c r="B26" s="6"/>
      <c r="C26" s="6"/>
      <c r="D26" s="6"/>
      <c r="E26" s="6"/>
      <c r="F26" s="6"/>
      <c r="G26" s="6"/>
    </row>
    <row r="28" spans="2:7" ht="15" customHeight="1" x14ac:dyDescent="0.3">
      <c r="B28" s="15" t="s">
        <v>186</v>
      </c>
      <c r="C28" s="15">
        <f>COUNTA(B6:B26)</f>
        <v>3</v>
      </c>
    </row>
    <row r="29" spans="2:7" ht="15" customHeight="1" x14ac:dyDescent="0.3">
      <c r="B29" s="15" t="s">
        <v>187</v>
      </c>
      <c r="C29" s="15">
        <f>COUNTIF(D6:D26,"School Collection Drive")+COUNTIF(D6:D26,"RWA/Community Drive")</f>
        <v>0</v>
      </c>
    </row>
    <row r="30" spans="2:7" ht="15" customHeight="1" x14ac:dyDescent="0.3">
      <c r="B30" s="15" t="s">
        <v>188</v>
      </c>
      <c r="C30" s="15">
        <f>SUM(F6:F26)</f>
        <v>0</v>
      </c>
    </row>
  </sheetData>
  <mergeCells count="2">
    <mergeCell ref="B3:G3"/>
    <mergeCell ref="A2:F2"/>
  </mergeCells>
  <dataValidations count="1">
    <dataValidation type="list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Ishika Bhute</cp:lastModifiedBy>
  <cp:revision>0</cp:revision>
  <dcterms:created xsi:type="dcterms:W3CDTF">2026-07-16T04:20:02Z</dcterms:created>
  <dcterms:modified xsi:type="dcterms:W3CDTF">2026-07-28T04:23:44Z</dcterms:modified>
  <dc:language>en-US</dc:language>
</cp:coreProperties>
</file>